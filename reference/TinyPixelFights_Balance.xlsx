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xl"/>
  <workbookPr defaultThemeVersion="164011"/>
  <bookViews>
    <workbookView xWindow="0" yWindow="0" windowWidth="28800" windowHeight="16200"/>
  </bookViews>
  <sheets>
    <sheet name="00_Assumptions" sheetId="1" r:id="rId1"/>
    <sheet name="01_Hero_Base" sheetId="2" r:id="rId2"/>
    <sheet name="02_Skill_Value" sheetId="3" r:id="rId3"/>
    <sheet name="03_Combat_Exchange" sheetId="4" r:id="rId4"/>
    <sheet name="04_Upgrade_Curve_Draft" sheetId="5" r:id="rId5"/>
    <sheet name="05_Soldier_Lieutenant_Draft" sheetId="6" r:id="rId6"/>
    <sheet name="06_Playtest_Log" sheetId="7" r:id="rId7"/>
    <sheet name="99_Changelog" sheetId="8" r:id="rId8"/>
  </sheet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sz val="11"/>
      <color rgb="FF211915"/>
      <name val="Yu Gothic"/>
    </font>
    <font>
      <b/>
      <sz val="16"/>
      <color rgb="FF09090B"/>
      <name val="Yu Mincho"/>
    </font>
    <font>
      <i/>
      <sz val="10"/>
      <color rgb="FF80683D"/>
      <name val="Yu Gothic"/>
    </font>
    <font>
      <b/>
      <sz val="11"/>
      <color rgb="FFE8DDCC"/>
      <name val="Yu Gothic"/>
    </font>
    <font>
      <b/>
      <sz val="11"/>
      <color rgb="FF711724"/>
      <name val="Yu Gothic"/>
    </font>
    <font>
      <b/>
      <sz val="11"/>
      <color rgb="FF09090B"/>
      <name val="Yu Gothic"/>
    </font>
  </fonts>
  <fills count="7">
    <fill>
      <patternFill patternType="none"/>
    </fill>
    <fill>
      <patternFill patternType="gray125"/>
    </fill>
    <fill>
      <patternFill patternType="solid">
        <fgColor rgb="FF31251E"/>
      </patternFill>
    </fill>
    <fill>
      <patternFill patternType="solid">
        <fgColor rgb="FFF6E5C3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E699"/>
      </patternFill>
    </fill>
  </fills>
  <borders count="2">
    <border>
      <left/>
      <right/>
      <top/>
      <bottom/>
      <diagonal/>
    </border>
    <border>
      <left style="thin">
        <color rgb="FFC7A45A"/>
      </left>
      <right style="thin">
        <color rgb="FFC7A45A"/>
      </right>
      <top style="thin">
        <color rgb="FFC7A45A"/>
      </top>
      <bottom style="thin">
        <color rgb="FFC7A45A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>
      <alignment wrapText="1"/>
    </xf>
    <xf numFmtId="0" fontId="2" fillId="0" borderId="0" xfId="0">
      <alignment wrapText="1"/>
    </xf>
    <xf numFmtId="0" fontId="3" fillId="2" borderId="1" xfId="0">
      <alignment horizontal="center" vertical="center" wrapText="1"/>
    </xf>
    <xf numFmtId="0" fontId="0" fillId="3" borderId="1" xfId="0">
      <alignment vertical="top" wrapText="1"/>
    </xf>
    <xf numFmtId="0" fontId="0" fillId="4" borderId="1" xfId="0">
      <alignment vertical="top" wrapText="1"/>
    </xf>
    <xf numFmtId="0" fontId="0" fillId="5" borderId="1" xfId="0">
      <alignment vertical="top" wrapText="1"/>
    </xf>
    <xf numFmtId="0" fontId="3" fillId="2" borderId="1" xfId="0">
      <alignment horizontal="center" wrapText="1"/>
    </xf>
    <xf numFmtId="0" fontId="4" fillId="0" borderId="1" xfId="0">
      <alignment horizontal="right"/>
    </xf>
    <xf numFmtId="10" fontId="0" fillId="0" borderId="1" xfId="0">
      <alignment horizontal="right"/>
    </xf>
    <xf numFmtId="164" fontId="0" fillId="0" borderId="1" xfId="0"/>
    <xf numFmtId="0" fontId="5" fillId="6" borderId="1" xfId="0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4" topLeftCell="A5" activePane="bottomLeft" state="frozen"/>
      <selection pane="bottomLeft"/>
    </sheetView>
  </sheetViews>
  <cols>
    <col min="1" max="1" width="14" customWidth="1"/>
    <col min="2" max="2" width="32" customWidth="1"/>
    <col min="3" max="3" width="14" customWidth="1"/>
    <col min="4" max="4" width="14" customWidth="1"/>
    <col min="5" max="5" width="88" customWidth="1"/>
  </cols>
  <sheetData>
    <row r="1" ht="24" customHeight="1">
      <c r="A1" t="inlineStr" s="1">
        <is>
          <t>Tiny Pixel Fights — Balance Workbook</t>
        </is>
      </c>
    </row>
    <row r="2" ht="40" customHeight="1">
      <c r="A2" t="inlineStr" s="2">
        <is>
          <t>用途：把现行对战原型的基础数值、技能估值、战斗交换、升级/士兵草案和 playtest 记录放进同一个可迭代表。公式是设计辅助，不是平衡证明。</t>
        </is>
      </c>
    </row>
    <row r="3"/>
    <row r="4" ht="28" customHeight="1">
      <c r="A4" t="inlineStr" s="3">
        <is>
          <t>类别</t>
        </is>
      </c>
      <c r="B4" t="inlineStr" s="3">
        <is>
          <t>参数ID</t>
        </is>
      </c>
      <c r="C4" t="inlineStr" s="3">
        <is>
          <t>当前值</t>
        </is>
      </c>
      <c r="D4" t="inlineStr" s="3">
        <is>
          <t>单位/类型</t>
        </is>
      </c>
      <c r="E4" t="inlineStr" s="3">
        <is>
          <t>说明</t>
        </is>
      </c>
    </row>
    <row r="5" ht="36" customHeight="1">
      <c r="A5" t="inlineStr" s="0">
        <is>
          <t>核心规则</t>
        </is>
      </c>
      <c r="B5" t="inlineStr" s="0">
        <is>
          <t>AP_MAX</t>
        </is>
      </c>
      <c r="C5" s="4">
        <v>5</v>
      </c>
      <c r="D5" t="inlineStr" s="0">
        <is>
          <t>points</t>
        </is>
      </c>
      <c r="E5" t="inlineStr" s="6">
        <is>
          <t>现行每方回合开始行动点上限；未来应支持局内/永久 modifier。</t>
        </is>
      </c>
    </row>
    <row r="6" ht="36" customHeight="1">
      <c r="A6" t="inlineStr" s="0">
        <is>
          <t>核心规则</t>
        </is>
      </c>
      <c r="B6" t="inlineStr" s="0">
        <is>
          <t>INITIAL_TEAM_SIZE</t>
        </is>
      </c>
      <c r="C6" s="4">
        <v>4</v>
      </c>
      <c r="D6" t="inlineStr" s="0">
        <is>
          <t>characters</t>
        </is>
      </c>
      <c r="E6" t="inlineStr" s="6">
        <is>
          <t>当前对战模式每方开局 4 人。未来队伍人数会变化。</t>
        </is>
      </c>
    </row>
    <row r="7" ht="36" customHeight="1">
      <c r="A7" t="inlineStr" s="0">
        <is>
          <t>核心规则</t>
        </is>
      </c>
      <c r="B7" t="inlineStr" s="0">
        <is>
          <t>ATTACKS_PER_CHARACTER_TURN</t>
        </is>
      </c>
      <c r="C7" s="4">
        <v>1</v>
      </c>
      <c r="D7" t="inlineStr" s="0">
        <is>
          <t>count</t>
        </is>
      </c>
      <c r="E7" t="inlineStr" s="6">
        <is>
          <t>每名角色每个己方回合最多主动攻击一次。</t>
        </is>
      </c>
    </row>
    <row r="8" ht="36" customHeight="1">
      <c r="A8" t="inlineStr" s="0">
        <is>
          <t>核心规则</t>
        </is>
      </c>
      <c r="B8" t="inlineStr" s="0">
        <is>
          <t>OPENING_HAND_MIN_COST1</t>
        </is>
      </c>
      <c r="C8" s="4">
        <v>1</v>
      </c>
      <c r="D8" t="inlineStr" s="0">
        <is>
          <t>characters</t>
        </is>
      </c>
      <c r="E8" t="inlineStr" s="6">
        <is>
          <t>发牌保底：双方至少 1 名 Cost1 角色。</t>
        </is>
      </c>
    </row>
    <row r="9" ht="36" customHeight="1">
      <c r="A9" t="inlineStr" s="0">
        <is>
          <t>战斗规则</t>
        </is>
      </c>
      <c r="B9" t="inlineStr" s="0">
        <is>
          <t>ATTACK_COUNTER_TIMING</t>
        </is>
      </c>
      <c r="C9" t="inlineStr" s="4">
        <is>
          <t>simultaneous</t>
        </is>
      </c>
      <c r="D9" t="inlineStr" s="0">
        <is>
          <t>rule</t>
        </is>
      </c>
      <c r="E9" t="inlineStr" s="6">
        <is>
          <t>主动攻击与反击同时结算；击杀不会取消本次反击。</t>
        </is>
      </c>
    </row>
    <row r="10" ht="36" customHeight="1">
      <c r="A10" t="inlineStr" s="0">
        <is>
          <t>战斗规则</t>
        </is>
      </c>
      <c r="B10" t="inlineStr" s="0">
        <is>
          <t>COUNTER_BASE_REDUCTION</t>
        </is>
      </c>
      <c r="C10" s="4">
        <v>1</v>
      </c>
      <c r="D10" t="inlineStr" s="0">
        <is>
          <t>points</t>
        </is>
      </c>
      <c r="E10" t="inlineStr" s="6">
        <is>
          <t>基础反击 = max(0, 当前基础攻击 - 1)。</t>
        </is>
      </c>
    </row>
    <row r="11" ht="36" customHeight="1">
      <c r="A11" t="inlineStr" s="0">
        <is>
          <t>战斗规则</t>
        </is>
      </c>
      <c r="B11" t="inlineStr" s="0">
        <is>
          <t>ABSOLUTE_DAMAGE_IGNORES_MODIFIERS</t>
        </is>
      </c>
      <c r="C11" t="b" s="4">
        <v>1</v>
      </c>
      <c r="D11" t="inlineStr" s="0">
        <is>
          <t>bool</t>
        </is>
      </c>
      <c r="E11" t="inlineStr" s="6">
        <is>
          <t>绝对伤害直接扣 HP，不受盾、预见、守护等影响。</t>
        </is>
      </c>
    </row>
    <row r="12" ht="36" customHeight="1">
      <c r="A12" t="inlineStr" s="0">
        <is>
          <t>盾牌规则</t>
        </is>
      </c>
      <c r="B12" t="inlineStr" s="0">
        <is>
          <t>FIRST_SHIELD_COST</t>
        </is>
      </c>
      <c r="C12" s="4">
        <v>2</v>
      </c>
      <c r="D12" t="inlineStr" s="0">
        <is>
          <t>AP</t>
        </is>
      </c>
      <c r="E12" t="inlineStr" s="6">
        <is>
          <t>首层防御消耗。</t>
        </is>
      </c>
    </row>
    <row r="13" ht="36" customHeight="1">
      <c r="A13" t="inlineStr" s="0">
        <is>
          <t>盾牌规则</t>
        </is>
      </c>
      <c r="B13" t="inlineStr" s="0">
        <is>
          <t>FIRST_SHIELD_GAIN</t>
        </is>
      </c>
      <c r="C13" s="4">
        <v>2</v>
      </c>
      <c r="D13" t="inlineStr" s="0">
        <is>
          <t>shield</t>
        </is>
      </c>
      <c r="E13" t="inlineStr" s="6">
        <is>
          <t>首层获得全队共享盾值。</t>
        </is>
      </c>
    </row>
    <row r="14" ht="36" customHeight="1">
      <c r="A14" t="inlineStr" s="0">
        <is>
          <t>盾牌规则</t>
        </is>
      </c>
      <c r="B14" t="inlineStr" s="0">
        <is>
          <t>REINFORCED_SHIELD_COST</t>
        </is>
      </c>
      <c r="C14" s="4">
        <v>1</v>
      </c>
      <c r="D14" t="inlineStr" s="0">
        <is>
          <t>AP</t>
        </is>
      </c>
      <c r="E14" t="inlineStr" s="6">
        <is>
          <t>若当前共享盾仍存在，再次防御的消耗。</t>
        </is>
      </c>
    </row>
    <row r="15" ht="36" customHeight="1">
      <c r="A15" t="inlineStr" s="0">
        <is>
          <t>盾牌规则</t>
        </is>
      </c>
      <c r="B15" t="inlineStr" s="0">
        <is>
          <t>REINFORCED_SHIELD_GAIN</t>
        </is>
      </c>
      <c r="C15" s="4">
        <v>2</v>
      </c>
      <c r="D15" t="inlineStr" s="0">
        <is>
          <t>shield</t>
        </is>
      </c>
      <c r="E15" t="inlineStr" s="6">
        <is>
          <t>二层不是固定到 4，而是在现有盾值上 +2。</t>
        </is>
      </c>
    </row>
    <row r="16" ht="36" customHeight="1">
      <c r="A16" t="inlineStr" s="0">
        <is>
          <t>盾牌规则</t>
        </is>
      </c>
      <c r="B16" t="inlineStr" s="0">
        <is>
          <t>REINFORCED_COUNTER_DEBUFF</t>
        </is>
      </c>
      <c r="C16" s="4">
        <v>-1</v>
      </c>
      <c r="D16" t="inlineStr" s="0">
        <is>
          <t>counter damage</t>
        </is>
      </c>
      <c r="E16" t="inlineStr" s="6">
        <is>
          <t>二层盾赋予一次反击伤害 -1 的可见 Debuff。</t>
        </is>
      </c>
    </row>
    <row r="17" ht="36" customHeight="1">
      <c r="A17" t="inlineStr" s="0">
        <is>
          <t>概率规则</t>
        </is>
      </c>
      <c r="B17" t="inlineStr" s="0">
        <is>
          <t>ORACLE_PHYSICAL_REDUCTION_CHANCE</t>
        </is>
      </c>
      <c r="C17" s="9">
        <v>0.25</v>
      </c>
      <c r="D17" t="inlineStr" s="0">
        <is>
          <t>probability</t>
        </is>
      </c>
      <c r="E17" t="inlineStr" s="6">
        <is>
          <t>占卜师预见：物理伤害每次独立 25% 减 1。</t>
        </is>
      </c>
    </row>
    <row r="18" ht="36" customHeight="1">
      <c r="A18" t="inlineStr" s="0">
        <is>
          <t>概率规则</t>
        </is>
      </c>
      <c r="B18" t="inlineStr" s="0">
        <is>
          <t>ORACLE_MAGIC_REDUCTION_CHANCE</t>
        </is>
      </c>
      <c r="C18" s="9">
        <v>0.5</v>
      </c>
      <c r="D18" t="inlineStr" s="0">
        <is>
          <t>probability</t>
        </is>
      </c>
      <c r="E18" t="inlineStr" s="6">
        <is>
          <t>占卜师预见：魔法伤害每次独立 50% 减 1。</t>
        </is>
      </c>
    </row>
    <row r="19" ht="36" customHeight="1">
      <c r="A19" t="inlineStr" s="0">
        <is>
          <t>声音规则</t>
        </is>
      </c>
      <c r="B19" t="inlineStr" s="0">
        <is>
          <t>LOW_HP_RATIO</t>
        </is>
      </c>
      <c r="C19" s="9">
        <v>0.25</v>
      </c>
      <c r="D19" t="inlineStr" s="0">
        <is>
          <t>ratio</t>
        </is>
      </c>
      <c r="E19" t="inlineStr" s="6">
        <is>
          <t>select-low-hp 阈值：当前 HP &lt;= ceil(MaxHP * 25%)。</t>
        </is>
      </c>
    </row>
    <row r="20" ht="36" customHeight="1">
      <c r="A20" t="inlineStr" s="0">
        <is>
          <t>声音规则</t>
        </is>
      </c>
      <c r="B20" t="inlineStr" s="0">
        <is>
          <t>HEAVY_DAMAGE_RATIO</t>
        </is>
      </c>
      <c r="C20" s="9">
        <v>0.25</v>
      </c>
      <c r="D20" t="inlineStr" s="0">
        <is>
          <t>ratio</t>
        </is>
      </c>
      <c r="E20" t="inlineStr" s="6">
        <is>
          <t>heavy-damage-taken 阈值：单次实际 HP 伤害 &gt;= MaxHP * 25%。</t>
        </is>
      </c>
    </row>
    <row r="21" ht="36" customHeight="1">
      <c r="A21" t="inlineStr" s="0">
        <is>
          <t>公式权重</t>
        </is>
      </c>
      <c r="B21" t="inlineStr" s="0">
        <is>
          <t>BASE_BULK_ATTACK_WEIGHT</t>
        </is>
      </c>
      <c r="C21" s="4">
        <v>2</v>
      </c>
      <c r="D21" t="inlineStr" s="0">
        <is>
          <t>weight</t>
        </is>
      </c>
      <c r="E21" t="inlineStr" s="6">
        <is>
          <t>基础体量公式：ATK * 2 + HP。沿用现有 Balance MD。</t>
        </is>
      </c>
    </row>
    <row r="22" ht="36" customHeight="1">
      <c r="A22" t="inlineStr" s="0">
        <is>
          <t>公式权重</t>
        </is>
      </c>
      <c r="B22" t="inlineStr" s="0">
        <is>
          <t>BASE_POWER_ATTACK_WEIGHT</t>
        </is>
      </c>
      <c r="C22" s="4">
        <v>3</v>
      </c>
      <c r="D22" t="inlineStr" s="0">
        <is>
          <t>weight</t>
        </is>
      </c>
      <c r="E22" t="inlineStr" s="6">
        <is>
          <t>Draft Base Power 中攻击的粗估权重；非最终平衡判断。</t>
        </is>
      </c>
    </row>
    <row r="23" ht="36" customHeight="1">
      <c r="A23" t="inlineStr" s="0">
        <is>
          <t>公式权重</t>
        </is>
      </c>
      <c r="B23" t="inlineStr" s="0">
        <is>
          <t>BASE_POWER_HP_WEIGHT</t>
        </is>
      </c>
      <c r="C23" s="9">
        <v>0.45</v>
      </c>
      <c r="D23" t="inlineStr" s="0">
        <is>
          <t>weight</t>
        </is>
      </c>
      <c r="E23" t="inlineStr" s="6">
        <is>
          <t>Draft Base Power 中 HP 的粗估权重；HP 不消耗 AP，故低于攻击。</t>
        </is>
      </c>
    </row>
    <row r="24" ht="36" customHeight="1">
      <c r="A24" t="inlineStr" s="0">
        <is>
          <t>公式权重</t>
        </is>
      </c>
      <c r="B24" t="inlineStr" s="0">
        <is>
          <t>BASE_POWER_FLEX_WEIGHT</t>
        </is>
      </c>
      <c r="C24" s="4">
        <v>2</v>
      </c>
      <c r="D24" t="inlineStr" s="0">
        <is>
          <t>weight</t>
        </is>
      </c>
      <c r="E24" t="inlineStr" s="6">
        <is>
          <t>Draft Base Power 中剩余 AP 灵活性的粗估权重。</t>
        </is>
      </c>
    </row>
    <row r="25" ht="36" customHeight="1">
      <c r="A25" t="inlineStr" s="0">
        <is>
          <t>公式权重</t>
        </is>
      </c>
      <c r="B25" t="inlineStr" s="0">
        <is>
          <t>SKILL_DEFAULT_RELIABILITY</t>
        </is>
      </c>
      <c r="C25" s="9">
        <v>0.8</v>
      </c>
      <c r="D25" t="inlineStr" s="0">
        <is>
          <t>weight</t>
        </is>
      </c>
      <c r="E25" t="inlineStr" s="6">
        <is>
          <t>技能价值默认可靠性折扣；应由 playtest 回填。</t>
        </is>
      </c>
    </row>
  </sheetData>
  <autoFilter ref="A4:E25"/>
  <mergeCells count="2">
    <mergeCell ref="A1:E1"/>
    <mergeCell ref="A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2"/>
  <sheetViews>
    <sheetView workbookViewId="0">
      <pane ySplit="4" topLeftCell="A5" activePane="bottomLeft" state="frozen"/>
      <selection pane="bottomLeft"/>
    </sheetView>
  </sheetViews>
  <cols>
    <col min="1" max="1" width="16" customWidth="1"/>
    <col min="2" max="2" width="16" customWidth="1"/>
    <col min="3" max="3" width="34" customWidth="1"/>
    <col min="4" max="4" width="14" customWidth="1"/>
    <col min="5" max="5" width="10" customWidth="1"/>
    <col min="6" max="6" width="10" customWidth="1"/>
    <col min="7" max="7" width="10" customWidth="1"/>
    <col min="8" max="8" width="13" customWidth="1"/>
    <col min="9" max="9" width="13" customWidth="1"/>
    <col min="10" max="10" width="12" customWidth="1"/>
    <col min="11" max="11" width="12" customWidth="1"/>
    <col min="12" max="12" width="18" customWidth="1"/>
    <col min="13" max="13" width="12" customWidth="1"/>
    <col min="14" max="14" width="58" customWidth="1"/>
  </cols>
  <sheetData>
    <row r="1" ht="24" customHeight="1">
      <c r="A1" t="inlineStr" s="1">
        <is>
          <t>01 Hero Base — 当前 8 名英雄基础数值</t>
        </is>
      </c>
    </row>
    <row r="2" ht="40" customHeight="1">
      <c r="A2" t="inlineStr" s="2">
        <is>
          <t>基础体量沿用 ATK*2+HP；Draft Base Power 额外加入 AP 灵活性，只用于暴露可疑差距。角色不需要无技能阶段完全等强。</t>
        </is>
      </c>
    </row>
    <row r="3"/>
    <row r="4" ht="32" customHeight="1">
      <c r="A4" t="inlineStr" s="3">
        <is>
          <t>ID</t>
        </is>
      </c>
      <c r="B4" t="inlineStr" s="3">
        <is>
          <t>日文名</t>
        </is>
      </c>
      <c r="C4" t="inlineStr" s="3">
        <is>
          <t>中文定位</t>
        </is>
      </c>
      <c r="D4" t="inlineStr" s="3">
        <is>
          <t>攻击类型</t>
        </is>
      </c>
      <c r="E4" t="inlineStr" s="3">
        <is>
          <t>Cost</t>
        </is>
      </c>
      <c r="F4" t="inlineStr" s="3">
        <is>
          <t>ATK</t>
        </is>
      </c>
      <c r="G4" t="inlineStr" s="3">
        <is>
          <t>HP</t>
        </is>
      </c>
      <c r="H4" t="inlineStr" s="3">
        <is>
          <t>基础体量</t>
        </is>
      </c>
      <c r="I4" t="inlineStr" s="3">
        <is>
          <t>Cost修正</t>
        </is>
      </c>
      <c r="J4" t="inlineStr" s="3">
        <is>
          <t>ATK/Cost</t>
        </is>
      </c>
      <c r="K4" t="inlineStr" s="3">
        <is>
          <t>HP/Cost</t>
        </is>
      </c>
      <c r="L4" t="inlineStr" s="3">
        <is>
          <t>Draft Base Power</t>
        </is>
      </c>
      <c r="M4" t="inlineStr" s="3">
        <is>
          <t>反击基准</t>
        </is>
      </c>
      <c r="N4" t="inlineStr" s="3">
        <is>
          <t>观察重点</t>
        </is>
      </c>
    </row>
    <row r="5" ht="44" customHeight="1">
      <c r="A5" t="inlineStr" s="0">
        <is>
          <t>peasant</t>
        </is>
      </c>
      <c r="B5" t="inlineStr" s="0">
        <is>
          <t>農民</t>
        </is>
      </c>
      <c r="C5" t="inlineStr" s="6">
        <is>
          <t>轻便普通战力；播种/收获规划</t>
        </is>
      </c>
      <c r="D5" t="inlineStr" s="0">
        <is>
          <t>Physical</t>
        </is>
      </c>
      <c r="E5" s="8">
        <v>1</v>
      </c>
      <c r="F5" s="8">
        <v>2</v>
      </c>
      <c r="G5" s="8">
        <v>16</v>
      </c>
      <c r="H5" s="5">
        <f>F5*'00_Assumptions'!$C$21+G5</f>
      </c>
      <c r="I5" s="5">
        <f>'00_Assumptions'!$C$5-E5</f>
      </c>
      <c r="J5" s="5">
        <f>IF(E5=0,0,F5/E5)</f>
      </c>
      <c r="K5" s="5">
        <f>IF(E5=0,0,G5/E5)</f>
      </c>
      <c r="L5" s="5">
        <f>F5*'00_Assumptions'!$C$22+G5*'00_Assumptions'!$C$23+I5*'00_Assumptions'!$C$24</f>
      </c>
      <c r="M5" s="5">
        <f>MAX(0,F5-'00_Assumptions'!$C$10)</f>
      </c>
      <c r="N5" t="inlineStr" s="6">
        <is>
          <t>Cost1 物理；收益依赖隔回合强化是否能安全收获。</t>
        </is>
      </c>
    </row>
    <row r="6" ht="44" customHeight="1">
      <c r="A6" t="inlineStr" s="0">
        <is>
          <t>princess</t>
        </is>
      </c>
      <c r="B6" t="inlineStr" s="0">
        <is>
          <t>姫</t>
        </is>
      </c>
      <c r="C6" t="inlineStr" s="6">
        <is>
          <t>低面板治疗核心；保护目标</t>
        </is>
      </c>
      <c r="D6" t="inlineStr" s="0">
        <is>
          <t>Physical</t>
        </is>
      </c>
      <c r="E6" s="8">
        <v>1</v>
      </c>
      <c r="F6" s="8">
        <v>1</v>
      </c>
      <c r="G6" s="8">
        <v>12</v>
      </c>
      <c r="H6" s="5">
        <f>F6*'00_Assumptions'!$C$21+G6</f>
      </c>
      <c r="I6" s="5">
        <f>'00_Assumptions'!$C$5-E6</f>
      </c>
      <c r="J6" s="5">
        <f>IF(E6=0,0,F6/E6)</f>
      </c>
      <c r="K6" s="5">
        <f>IF(E6=0,0,G6/E6)</f>
      </c>
      <c r="L6" s="5">
        <f>F6*'00_Assumptions'!$C$22+G6*'00_Assumptions'!$C$23+I6*'00_Assumptions'!$C$24</f>
      </c>
      <c r="M6" s="5">
        <f>MAX(0,F6-'00_Assumptions'!$C$10)</f>
      </c>
      <c r="N6" t="inlineStr" s="6">
        <is>
          <t>基础最弱，但全队治疗能补强；要观察是否仍被先手集火。</t>
        </is>
      </c>
    </row>
    <row r="7" ht="44" customHeight="1">
      <c r="A7" t="inlineStr" s="0">
        <is>
          <t>mage</t>
        </is>
      </c>
      <c r="B7" t="inlineStr" s="0">
        <is>
          <t>魔法使い</t>
        </is>
      </c>
      <c r="C7" t="inlineStr" s="6">
        <is>
          <t>高魔法输出；燃烧延迟伤害</t>
        </is>
      </c>
      <c r="D7" t="inlineStr" s="0">
        <is>
          <t>Magical</t>
        </is>
      </c>
      <c r="E7" s="8">
        <v>2</v>
      </c>
      <c r="F7" s="8">
        <v>4</v>
      </c>
      <c r="G7" s="8">
        <v>16</v>
      </c>
      <c r="H7" s="5">
        <f>F7*'00_Assumptions'!$C$21+G7</f>
      </c>
      <c r="I7" s="5">
        <f>'00_Assumptions'!$C$5-E7</f>
      </c>
      <c r="J7" s="5">
        <f>IF(E7=0,0,F7/E7)</f>
      </c>
      <c r="K7" s="5">
        <f>IF(E7=0,0,G7/E7)</f>
      </c>
      <c r="L7" s="5">
        <f>F7*'00_Assumptions'!$C$22+G7*'00_Assumptions'!$C$23+I7*'00_Assumptions'!$C$24</f>
      </c>
      <c r="M7" s="5">
        <f>MAX(0,F7-'00_Assumptions'!$C$10)</f>
      </c>
      <c r="N7" t="inlineStr" s="6">
        <is>
          <t>高攻击低耐久占比；与占卜师魔法增伤直接协同。</t>
        </is>
      </c>
    </row>
    <row r="8" ht="44" customHeight="1">
      <c r="A8" t="inlineStr" s="0">
        <is>
          <t>oracle</t>
        </is>
      </c>
      <c r="B8" t="inlineStr" s="0">
        <is>
          <t>占い師</t>
        </is>
      </c>
      <c r="C8" t="inlineStr" s="6">
        <is>
          <t>全队概率减伤；魔法队引擎</t>
        </is>
      </c>
      <c r="D8" t="inlineStr" s="0">
        <is>
          <t>Magical</t>
        </is>
      </c>
      <c r="E8" s="8">
        <v>1</v>
      </c>
      <c r="F8" s="8">
        <v>1</v>
      </c>
      <c r="G8" s="8">
        <v>14</v>
      </c>
      <c r="H8" s="5">
        <f>F8*'00_Assumptions'!$C$21+G8</f>
      </c>
      <c r="I8" s="5">
        <f>'00_Assumptions'!$C$5-E8</f>
      </c>
      <c r="J8" s="5">
        <f>IF(E8=0,0,F8/E8)</f>
      </c>
      <c r="K8" s="5">
        <f>IF(E8=0,0,G8/E8)</f>
      </c>
      <c r="L8" s="5">
        <f>F8*'00_Assumptions'!$C$22+G8*'00_Assumptions'!$C$23+I8*'00_Assumptions'!$C$24</f>
      </c>
      <c r="M8" s="5">
        <f>MAX(0,F8-'00_Assumptions'!$C$10)</f>
      </c>
      <c r="N8" t="inlineStr" s="6">
        <is>
          <t>低面板强 aura；需要观察魔法队是否过强。</t>
        </is>
      </c>
    </row>
    <row r="9" ht="44" customHeight="1">
      <c r="A9" t="inlineStr" s="0">
        <is>
          <t>knight</t>
        </is>
      </c>
      <c r="B9" t="inlineStr" s="0">
        <is>
          <t>騎士</t>
        </is>
      </c>
      <c r="C9" t="inlineStr" s="6">
        <is>
          <t>重装守护；保护关键队友</t>
        </is>
      </c>
      <c r="D9" t="inlineStr" s="0">
        <is>
          <t>Physical</t>
        </is>
      </c>
      <c r="E9" s="8">
        <v>3</v>
      </c>
      <c r="F9" s="8">
        <v>3</v>
      </c>
      <c r="G9" s="8">
        <v>24</v>
      </c>
      <c r="H9" s="5">
        <f>F9*'00_Assumptions'!$C$21+G9</f>
      </c>
      <c r="I9" s="5">
        <f>'00_Assumptions'!$C$5-E9</f>
      </c>
      <c r="J9" s="5">
        <f>IF(E9=0,0,F9/E9)</f>
      </c>
      <c r="K9" s="5">
        <f>IF(E9=0,0,G9/E9)</f>
      </c>
      <c r="L9" s="5">
        <f>F9*'00_Assumptions'!$C$22+G9*'00_Assumptions'!$C$23+I9*'00_Assumptions'!$C$24</f>
      </c>
      <c r="M9" s="5">
        <f>MAX(0,F9-'00_Assumptions'!$C$10)</f>
      </c>
      <c r="N9" t="inlineStr" s="6">
        <is>
          <t>最高 HP；守护只对未被盾完全吸收的主动物理攻击生效。</t>
        </is>
      </c>
    </row>
    <row r="10" ht="44" customHeight="1">
      <c r="A10" t="inlineStr" s="0">
        <is>
          <t>druid</t>
        </is>
      </c>
      <c r="B10" t="inlineStr" s="0">
        <is>
          <t>ドルイド</t>
        </is>
      </c>
      <c r="C10" t="inlineStr" s="6">
        <is>
          <t>低费控制；驱散攻击强化</t>
        </is>
      </c>
      <c r="D10" t="inlineStr" s="0">
        <is>
          <t>Magical</t>
        </is>
      </c>
      <c r="E10" s="8">
        <v>1</v>
      </c>
      <c r="F10" s="8">
        <v>1</v>
      </c>
      <c r="G10" s="8">
        <v>16</v>
      </c>
      <c r="H10" s="5">
        <f>F10*'00_Assumptions'!$C$21+G10</f>
      </c>
      <c r="I10" s="5">
        <f>'00_Assumptions'!$C$5-E10</f>
      </c>
      <c r="J10" s="5">
        <f>IF(E10=0,0,F10/E10)</f>
      </c>
      <c r="K10" s="5">
        <f>IF(E10=0,0,G10/E10)</f>
      </c>
      <c r="L10" s="5">
        <f>F10*'00_Assumptions'!$C$22+G10*'00_Assumptions'!$C$23+I10*'00_Assumptions'!$C$24</f>
      </c>
      <c r="M10" s="5">
        <f>MAX(0,F10-'00_Assumptions'!$C$10)</f>
      </c>
      <c r="N10" t="inlineStr" s="6">
        <is>
          <t>低攻击但高控制；随机驱散可驱散 Buff + 延迟攻击-2。</t>
        </is>
      </c>
    </row>
    <row r="11" ht="44" customHeight="1">
      <c r="A11" t="inlineStr" s="0">
        <is>
          <t>barbarian</t>
        </is>
      </c>
      <c r="B11" t="inlineStr" s="0">
        <is>
          <t>バーバリアン</t>
        </is>
      </c>
      <c r="C11" t="inlineStr" s="6">
        <is>
          <t>2费高攻击；重击波及</t>
        </is>
      </c>
      <c r="D11" t="inlineStr" s="0">
        <is>
          <t>Physical</t>
        </is>
      </c>
      <c r="E11" s="8">
        <v>2</v>
      </c>
      <c r="F11" s="8">
        <v>4</v>
      </c>
      <c r="G11" s="8">
        <v>18</v>
      </c>
      <c r="H11" s="5">
        <f>F11*'00_Assumptions'!$C$21+G11</f>
      </c>
      <c r="I11" s="5">
        <f>'00_Assumptions'!$C$5-E11</f>
      </c>
      <c r="J11" s="5">
        <f>IF(E11=0,0,F11/E11)</f>
      </c>
      <c r="K11" s="5">
        <f>IF(E11=0,0,G11/E11)</f>
      </c>
      <c r="L11" s="5">
        <f>F11*'00_Assumptions'!$C$22+G11*'00_Assumptions'!$C$23+I11*'00_Assumptions'!$C$24</f>
      </c>
      <c r="M11" s="5">
        <f>MAX(0,F11-'00_Assumptions'!$C$10)</f>
      </c>
      <c r="N11" t="inlineStr" s="6">
        <is>
          <t>主动最终伤害 &gt;=3 时触发相邻余波。</t>
        </is>
      </c>
    </row>
    <row r="12" ht="44" customHeight="1">
      <c r="A12" t="inlineStr" s="0">
        <is>
          <t>monster</t>
        </is>
      </c>
      <c r="B12" t="inlineStr" s="0">
        <is>
          <t>モンスター</t>
        </is>
      </c>
      <c r="C12" t="inlineStr" s="6">
        <is>
          <t>重型威胁；反防御与公主联动</t>
        </is>
      </c>
      <c r="D12" t="inlineStr" s="0">
        <is>
          <t>Physical</t>
        </is>
      </c>
      <c r="E12" s="8">
        <v>3</v>
      </c>
      <c r="F12" s="8">
        <v>3</v>
      </c>
      <c r="G12" s="8">
        <v>22</v>
      </c>
      <c r="H12" s="5">
        <f>F12*'00_Assumptions'!$C$21+G12</f>
      </c>
      <c r="I12" s="5">
        <f>'00_Assumptions'!$C$5-E12</f>
      </c>
      <c r="J12" s="5">
        <f>IF(E12=0,0,F12/E12)</f>
      </c>
      <c r="K12" s="5">
        <f>IF(E12=0,0,G12/E12)</f>
      </c>
      <c r="L12" s="5">
        <f>F12*'00_Assumptions'!$C$22+G12*'00_Assumptions'!$C$23+I12*'00_Assumptions'!$C$24</f>
      </c>
      <c r="M12" s="5">
        <f>MAX(0,F12-'00_Assumptions'!$C$10)</f>
      </c>
      <c r="N12" t="inlineStr" s="6">
        <is>
          <t>0伤害触发绝对追击；己方公主存活/阵亡都改变价值。</t>
        </is>
      </c>
    </row>
  </sheetData>
  <autoFilter ref="A4:N12"/>
  <mergeCells count="2">
    <mergeCell ref="A1:N1"/>
    <mergeCell ref="A2:N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12"/>
  <sheetViews>
    <sheetView workbookViewId="0">
      <pane ySplit="4" topLeftCell="A5" activePane="bottomLeft" state="frozen"/>
      <selection pane="bottomLeft"/>
    </sheetView>
  </sheetViews>
  <cols>
    <col min="1" max="1" width="16" customWidth="1"/>
    <col min="2" max="2" width="16" customWidth="1"/>
    <col min="3" max="3" width="22" customWidth="1"/>
    <col min="4" max="4" width="12" customWidth="1"/>
    <col min="5" max="5" width="52" customWidth="1"/>
    <col min="6" max="6" width="13" customWidth="1"/>
    <col min="7" max="7" width="13" customWidth="1"/>
    <col min="8" max="8" width="13" customWidth="1"/>
    <col min="9" max="9" width="11" customWidth="1"/>
    <col min="10" max="10" width="16" customWidth="1"/>
    <col min="11" max="11" width="13" customWidth="1"/>
    <col min="12" max="12" width="13" customWidth="1"/>
    <col min="13" max="13" width="48" customWidth="1"/>
    <col min="14" max="14" width="48" customWidth="1"/>
  </cols>
  <sheetData>
    <row r="1" ht="24" customHeight="1">
      <c r="A1" t="inlineStr" s="1">
        <is>
          <t>02 Skill Value — 技能估值草案</t>
        </is>
      </c>
    </row>
    <row r="2" ht="40" customHeight="1">
      <c r="A2" t="inlineStr" s="2">
        <is>
          <t>Draft Skill Value = 可量化收益 × 概率/可靠性 × 延迟/条件折扣 × 影响范围。它只是第一眼比较工具，真正权重必须用 playtest 回填。</t>
        </is>
      </c>
    </row>
    <row r="3"/>
    <row r="4" ht="34" customHeight="1">
      <c r="A4" t="inlineStr" s="3">
        <is>
          <t>ID</t>
        </is>
      </c>
      <c r="B4" t="inlineStr" s="3">
        <is>
          <t>日文名</t>
        </is>
      </c>
      <c r="C4" t="inlineStr" s="3">
        <is>
          <t>Skill ID</t>
        </is>
      </c>
      <c r="D4" t="inlineStr" s="3">
        <is>
          <t>类型</t>
        </is>
      </c>
      <c r="E4" t="inlineStr" s="3">
        <is>
          <t>触发/时机</t>
        </is>
      </c>
      <c r="F4" t="inlineStr" s="3">
        <is>
          <t>可量化收益</t>
        </is>
      </c>
      <c r="G4" t="inlineStr" s="3">
        <is>
          <t>概率/可靠性</t>
        </is>
      </c>
      <c r="H4" t="inlineStr" s="3">
        <is>
          <t>延迟/条件折扣</t>
        </is>
      </c>
      <c r="I4" t="inlineStr" s="3">
        <is>
          <t>影响范围</t>
        </is>
      </c>
      <c r="J4" t="inlineStr" s="3">
        <is>
          <t>Draft Skill Value</t>
        </is>
      </c>
      <c r="K4" t="inlineStr" s="3">
        <is>
          <t>Base Power</t>
        </is>
      </c>
      <c r="L4" t="inlineStr" s="3">
        <is>
          <t>Draft Total</t>
        </is>
      </c>
      <c r="M4" t="inlineStr" s="3">
        <is>
          <t>主要协同</t>
        </is>
      </c>
      <c r="N4" t="inlineStr" s="3">
        <is>
          <t>主要反制/风险</t>
        </is>
      </c>
    </row>
    <row r="5" ht="58" customHeight="1">
      <c r="A5" t="inlineStr" s="0">
        <is>
          <t>peasant</t>
        </is>
      </c>
      <c r="B5" t="inlineStr" s="0">
        <is>
          <t>農民</t>
        </is>
      </c>
      <c r="C5" t="inlineStr" s="0">
        <is>
          <t>spring-harvest</t>
        </is>
      </c>
      <c r="D5" t="inlineStr" s="0">
        <is>
          <t>被动</t>
        </is>
      </c>
      <c r="E5" t="inlineStr" s="6">
        <is>
          <t>首行动攻击后播种；下次己方回合收获 ATK+2。</t>
        </is>
      </c>
      <c r="F5" s="8">
        <v>2.0</v>
      </c>
      <c r="G5" s="9">
        <v>1.0</v>
      </c>
      <c r="H5" s="9">
        <v>0.55</v>
      </c>
      <c r="I5" s="8">
        <v>1.0</v>
      </c>
      <c r="J5" s="5">
        <f>F5*G5*H5*I5</f>
      </c>
      <c r="K5" s="5">
        <f>VLOOKUP(A5,'01_Hero_Base'!$A$5:$N$12,12,FALSE)</f>
      </c>
      <c r="L5" s="5">
        <f>J5+K5</f>
      </c>
      <c r="M5" t="inlineStr" s="6">
        <is>
          <t>AP5 下低费连动强；可被德鲁伊驱散。</t>
        </is>
      </c>
      <c r="N5" t="inlineStr" s="6">
        <is>
          <t>公开规划，容易被集火或驱散。</t>
        </is>
      </c>
    </row>
    <row r="6" ht="58" customHeight="1">
      <c r="A6" t="inlineStr" s="0">
        <is>
          <t>princess</t>
        </is>
      </c>
      <c r="B6" t="inlineStr" s="0">
        <is>
          <t>姫</t>
        </is>
      </c>
      <c r="C6" t="inlineStr" s="0">
        <is>
          <t>saints-prayer</t>
        </is>
      </c>
      <c r="D6" t="inlineStr" s="0">
        <is>
          <t>被动</t>
        </is>
      </c>
      <c r="E6" t="inlineStr" s="6">
        <is>
          <t>己方回合开始，全体存活角色 HP+1，最多超过上限 2。</t>
        </is>
      </c>
      <c r="F6" s="8">
        <v>1.0</v>
      </c>
      <c r="G6" s="9">
        <v>1.0</v>
      </c>
      <c r="H6" s="9">
        <v>0.9</v>
      </c>
      <c r="I6" s="8">
        <v>3.0</v>
      </c>
      <c r="J6" s="5">
        <f>F6*G6*H6*I6</f>
      </c>
      <c r="K6" s="5">
        <f>VLOOKUP(A6,'01_Hero_Base'!$A$5:$N$12,12,FALSE)</f>
      </c>
      <c r="L6" s="5">
        <f>J6+K6</f>
      </c>
      <c r="M6" t="inlineStr" s="6">
        <is>
          <t>与骑士、怪物、长局面高度协同。</t>
        </is>
      </c>
      <c r="N6" t="inlineStr" s="6">
        <is>
          <t>自身 HP 低，可能成为先手集火目标。</t>
        </is>
      </c>
    </row>
    <row r="7" ht="58" customHeight="1">
      <c r="A7" t="inlineStr" s="0">
        <is>
          <t>mage</t>
        </is>
      </c>
      <c r="B7" t="inlineStr" s="0">
        <is>
          <t>魔法使い</t>
        </is>
      </c>
      <c r="C7" t="inlineStr" s="0">
        <is>
          <t>searing-mark</t>
        </is>
      </c>
      <c r="D7" t="inlineStr" s="0">
        <is>
          <t>主动</t>
        </is>
      </c>
      <c r="E7" t="inlineStr" s="6">
        <is>
          <t>攻击后 50% 附加燃烧；目标下次回合开始受魔法伤害。</t>
        </is>
      </c>
      <c r="F7" s="8">
        <v>1.0</v>
      </c>
      <c r="G7" s="9">
        <v>0.5</v>
      </c>
      <c r="H7" s="9">
        <v>0.75</v>
      </c>
      <c r="I7" s="8">
        <v>1.0</v>
      </c>
      <c r="J7" s="5">
        <f>F7*G7*H7*I7</f>
      </c>
      <c r="K7" s="5">
        <f>VLOOKUP(A7,'01_Hero_Base'!$A$5:$N$12,12,FALSE)</f>
      </c>
      <c r="L7" s="5">
        <f>J7+K7</f>
      </c>
      <c r="M7" t="inlineStr" s="6">
        <is>
          <t>受占卜师魔法伤害 +1 影响。</t>
        </is>
      </c>
      <c r="N7" t="inlineStr" s="6">
        <is>
          <t>延迟伤害需用视觉和日志说清楚。</t>
        </is>
      </c>
    </row>
    <row r="8" ht="58" customHeight="1">
      <c r="A8" t="inlineStr" s="0">
        <is>
          <t>oracle</t>
        </is>
      </c>
      <c r="B8" t="inlineStr" s="0">
        <is>
          <t>占い師</t>
        </is>
      </c>
      <c r="C8" t="inlineStr" s="0">
        <is>
          <t>stargazers-aegis</t>
        </is>
      </c>
      <c r="D8" t="inlineStr" s="0">
        <is>
          <t>被动</t>
        </is>
      </c>
      <c r="E8" t="inlineStr" s="6">
        <is>
          <t>全队预见概率减伤；魔法攻击和燃烧 +1。</t>
        </is>
      </c>
      <c r="F8" s="8">
        <v>1.0</v>
      </c>
      <c r="G8" s="9">
        <v>0.7</v>
      </c>
      <c r="H8" s="9">
        <v>0.95</v>
      </c>
      <c r="I8" s="8">
        <v>3.5</v>
      </c>
      <c r="J8" s="5">
        <f>F8*G8*H8*I8</f>
      </c>
      <c r="K8" s="5">
        <f>VLOOKUP(A8,'01_Hero_Base'!$A$5:$N$12,12,FALSE)</f>
      </c>
      <c r="L8" s="5">
        <f>J8+K8</f>
      </c>
      <c r="M8" t="inlineStr" s="6">
        <is>
          <t>魔法队引擎；增强 mage/druid。</t>
        </is>
      </c>
      <c r="N8" t="inlineStr" s="6">
        <is>
          <t>Aura 价值依赖队伍和对局长度。</t>
        </is>
      </c>
    </row>
    <row r="9" ht="58" customHeight="1">
      <c r="A9" t="inlineStr" s="0">
        <is>
          <t>knight</t>
        </is>
      </c>
      <c r="B9" t="inlineStr" s="0">
        <is>
          <t>騎士</t>
        </is>
      </c>
      <c r="C9" t="inlineStr" s="0">
        <is>
          <t>interposing-shield</t>
        </is>
      </c>
      <c r="D9" t="inlineStr" s="0">
        <is>
          <t>被动</t>
        </is>
      </c>
      <c r="E9" t="inlineStr" s="6">
        <is>
          <t>全队共享一次守护；只拦截骑士以外目标受到的主动物理攻击。</t>
        </is>
      </c>
      <c r="F9" s="8">
        <v>1.2</v>
      </c>
      <c r="G9" s="9">
        <v>0.7</v>
      </c>
      <c r="H9" s="9">
        <v>0.9</v>
      </c>
      <c r="I9" s="8">
        <v>1.5</v>
      </c>
      <c r="J9" s="5">
        <f>F9*G9*H9*I9</f>
      </c>
      <c r="K9" s="5">
        <f>VLOOKUP(A9,'01_Hero_Base'!$A$5:$N$12,12,FALSE)</f>
      </c>
      <c r="L9" s="5">
        <f>J9+K9</f>
      </c>
      <c r="M9" t="inlineStr" s="6">
        <is>
          <t>保护公主/占卜师等低 HP 核心。</t>
        </is>
      </c>
      <c r="N9" t="inlineStr" s="6">
        <is>
          <t>盾完全吸收时不触发；不保护魔法/反击/技能。</t>
        </is>
      </c>
    </row>
    <row r="10" ht="58" customHeight="1">
      <c r="A10" t="inlineStr" s="0">
        <is>
          <t>druid</t>
        </is>
      </c>
      <c r="B10" t="inlineStr" s="0">
        <is>
          <t>ドルイド</t>
        </is>
      </c>
      <c r="C10" t="inlineStr" s="0">
        <is>
          <t>weakening-spores</t>
        </is>
      </c>
      <c r="D10" t="inlineStr" s="0">
        <is>
          <t>主动</t>
        </is>
      </c>
      <c r="E10" t="inlineStr" s="6">
        <is>
          <t>成功后随机移除一个可驱散攻击强化 Buff，并给予待机衰弱。</t>
        </is>
      </c>
      <c r="F10" s="8">
        <v>2.5</v>
      </c>
      <c r="G10" s="9">
        <v>0.75</v>
      </c>
      <c r="H10" s="9">
        <v>0.7</v>
      </c>
      <c r="I10" s="8">
        <v>1.0</v>
      </c>
      <c r="J10" s="5">
        <f>F10*G10*H10*I10</f>
      </c>
      <c r="K10" s="5">
        <f>VLOOKUP(A10,'01_Hero_Base'!$A$5:$N$12,12,FALSE)</f>
      </c>
      <c r="L10" s="5">
        <f>J10+K10</f>
      </c>
      <c r="M10" t="inlineStr" s="6">
        <is>
          <t>反制农民收获、星読みの魔力等攻击强化。</t>
        </is>
      </c>
      <c r="N10" t="inlineStr" s="6">
        <is>
          <t>低 Cost 高频控制可能过强。</t>
        </is>
      </c>
    </row>
    <row r="11" ht="58" customHeight="1">
      <c r="A11" t="inlineStr" s="0">
        <is>
          <t>barbarian</t>
        </is>
      </c>
      <c r="B11" t="inlineStr" s="0">
        <is>
          <t>バーバリアン</t>
        </is>
      </c>
      <c r="C11" t="inlineStr" s="0">
        <is>
          <t>aftershock-axe</t>
        </is>
      </c>
      <c r="D11" t="inlineStr" s="0">
        <is>
          <t>主动</t>
        </is>
      </c>
      <c r="E11" t="inlineStr" s="6">
        <is>
          <t>主动最终伤害 &gt;=3 时，对相邻单位造成 1 物理技能伤害。</t>
        </is>
      </c>
      <c r="F11" s="8">
        <v>1.0</v>
      </c>
      <c r="G11" s="9">
        <v>0.65</v>
      </c>
      <c r="H11" s="9">
        <v>0.9</v>
      </c>
      <c r="I11" s="8">
        <v>1.0</v>
      </c>
      <c r="J11" s="5">
        <f>F11*G11*H11*I11</f>
      </c>
      <c r="K11" s="5">
        <f>VLOOKUP(A11,'01_Hero_Base'!$A$5:$N$12,12,FALSE)</f>
      </c>
      <c r="L11" s="5">
        <f>J11+K11</f>
      </c>
      <c r="M11" t="inlineStr" s="6">
        <is>
          <t>站位系统入口；惩罚贴脸排布。</t>
        </is>
      </c>
      <c r="N11" t="inlineStr" s="6">
        <is>
          <t>触发率受盾、预见、守护影响。</t>
        </is>
      </c>
    </row>
    <row r="12" ht="58" customHeight="1">
      <c r="A12" t="inlineStr" s="0">
        <is>
          <t>monster</t>
        </is>
      </c>
      <c r="B12" t="inlineStr" s="0">
        <is>
          <t>モンスター</t>
        </is>
      </c>
      <c r="C12" t="inlineStr" s="0">
        <is>
          <t>predatory-instinct</t>
        </is>
      </c>
      <c r="D12" t="inlineStr" s="0">
        <is>
          <t>主动/条件强化</t>
        </is>
      </c>
      <c r="E12" t="inlineStr" s="6">
        <is>
          <t>攻击非公主目标且主动伤害为 0 时，追加绝对伤害。</t>
        </is>
      </c>
      <c r="F12" s="8">
        <v>3.5</v>
      </c>
      <c r="G12" s="9">
        <v>0.45</v>
      </c>
      <c r="H12" s="9">
        <v>0.85</v>
      </c>
      <c r="I12" s="8">
        <v>1.0</v>
      </c>
      <c r="J12" s="5">
        <f>F12*G12*H12*I12</f>
      </c>
      <c r="K12" s="5">
        <f>VLOOKUP(A12,'01_Hero_Base'!$A$5:$N$12,12,FALSE)</f>
      </c>
      <c r="L12" s="5">
        <f>J12+K12</f>
      </c>
      <c r="M12" t="inlineStr" s="6">
        <is>
          <t>反制盾/预见导致的 0 伤害；与公主联动。</t>
        </is>
      </c>
      <c r="N12" t="inlineStr" s="6">
        <is>
          <t>绝对伤害绕过太多系统，必须严控触发频率。</t>
        </is>
      </c>
    </row>
  </sheetData>
  <autoFilter ref="A4:N12"/>
  <mergeCells count="2">
    <mergeCell ref="A1:N1"/>
    <mergeCell ref="A2:N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68"/>
  <sheetViews>
    <sheetView workbookViewId="0">
      <pane ySplit="4" topLeftCell="A5" activePane="bottomLeft" state="frozen"/>
      <selection pane="bottomLeft"/>
    </sheetView>
  </sheetViews>
  <cols>
    <col min="1" max="1" width="14" customWidth="1"/>
    <col min="2" max="2" width="14" customWidth="1"/>
    <col min="3" max="3" width="10" customWidth="1"/>
    <col min="4" max="4" width="12" customWidth="1"/>
    <col min="5" max="5" width="12" customWidth="1"/>
    <col min="6" max="6" width="12" customWidth="1"/>
    <col min="7" max="7" width="13" customWidth="1"/>
    <col min="8" max="8" width="15" customWidth="1"/>
    <col min="9" max="9" width="16" customWidth="1"/>
    <col min="10" max="10" width="12" customWidth="1"/>
    <col min="11" max="11" width="12" customWidth="1"/>
    <col min="12" max="12" width="13" customWidth="1"/>
    <col min="13" max="13" width="13" customWidth="1"/>
    <col min="14" max="14" width="28" customWidth="1"/>
  </cols>
  <sheetData>
    <row r="1" ht="24" customHeight="1">
      <c r="A1" t="inlineStr" s="1">
        <is>
          <t>03 Combat Exchange — 无技能/无盾基础交换矩阵</t>
        </is>
      </c>
    </row>
    <row r="2" ht="40" customHeight="1">
      <c r="A2" t="inlineStr" s="2">
        <is>
          <t>64 组 Attacker × Defender 基础交换。未计入盾、预见、守护、技能、站位、击杀后续收益；用于观察主动伤害 vs 反击风险。</t>
        </is>
      </c>
    </row>
    <row r="3"/>
    <row r="4" ht="32" customHeight="1">
      <c r="A4" t="inlineStr" s="3">
        <is>
          <t>Attacker</t>
        </is>
      </c>
      <c r="B4" t="inlineStr" s="3">
        <is>
          <t>Defender</t>
        </is>
      </c>
      <c r="C4" t="inlineStr" s="3">
        <is>
          <t>Atk Cost</t>
        </is>
      </c>
      <c r="D4" t="inlineStr" s="3">
        <is>
          <t>Attacker ATK</t>
        </is>
      </c>
      <c r="E4" t="inlineStr" s="3">
        <is>
          <t>Defender ATK</t>
        </is>
      </c>
      <c r="F4" t="inlineStr" s="3">
        <is>
          <t>Defender HP</t>
        </is>
      </c>
      <c r="G4" t="inlineStr" s="3">
        <is>
          <t>Attack Type</t>
        </is>
      </c>
      <c r="H4" t="inlineStr" s="3">
        <is>
          <t>Raw Attack Damage</t>
        </is>
      </c>
      <c r="I4" t="inlineStr" s="3">
        <is>
          <t>Raw Counter Damage</t>
        </is>
      </c>
      <c r="J4" t="inlineStr" s="3">
        <is>
          <t>Damage Diff</t>
        </is>
      </c>
      <c r="K4" t="inlineStr" s="3">
        <is>
          <t>Damage/AP</t>
        </is>
      </c>
      <c r="L4" t="inlineStr" s="3">
        <is>
          <t>Attacks To KO</t>
        </is>
      </c>
      <c r="M4" t="inlineStr" s="3">
        <is>
          <t>Counter Threat</t>
        </is>
      </c>
      <c r="N4" t="inlineStr" s="3">
        <is>
          <t>Notes</t>
        </is>
      </c>
    </row>
    <row r="5">
      <c r="A5" t="inlineStr" s="0">
        <is>
          <t>peasant</t>
        </is>
      </c>
      <c r="B5" t="inlineStr" s="0">
        <is>
          <t>peasant</t>
        </is>
      </c>
      <c r="C5" s="5">
        <f>VLOOKUP(A5,'01_Hero_Base'!$A$5:$N$12,5,FALSE)</f>
      </c>
      <c r="D5" s="5">
        <f>VLOOKUP(A5,'01_Hero_Base'!$A$5:$N$12,6,FALSE)</f>
      </c>
      <c r="E5" s="5">
        <f>VLOOKUP(B5,'01_Hero_Base'!$A$5:$N$12,6,FALSE)</f>
      </c>
      <c r="F5" s="5">
        <f>VLOOKUP(B5,'01_Hero_Base'!$A$5:$N$12,7,FALSE)</f>
      </c>
      <c r="G5" s="5">
        <f>VLOOKUP(A5,'01_Hero_Base'!$A$5:$N$12,4,FALSE)</f>
      </c>
      <c r="H5" s="5">
        <f>D5</f>
      </c>
      <c r="I5" s="5">
        <f>MAX(0,E5-'00_Assumptions'!$C$10)</f>
      </c>
      <c r="J5" s="5">
        <f>H5-I5</f>
      </c>
      <c r="K5" s="5">
        <f>IF(C5=0,0,H5/C5)</f>
      </c>
      <c r="L5" s="5">
        <f>IF(H5=0,"∞",ROUNDUP(F5/H5,0))</f>
      </c>
      <c r="M5" s="5">
        <f>IF(I5&gt;=3,"高",IF(I5&gt;=2,"中","低"))</f>
      </c>
      <c r="N5" t="inlineStr" s="6">
        <is>
          <t>基础交换；不代表实战预测。</t>
        </is>
      </c>
    </row>
    <row r="6">
      <c r="A6" t="inlineStr" s="0">
        <is>
          <t>peasant</t>
        </is>
      </c>
      <c r="B6" t="inlineStr" s="0">
        <is>
          <t>princess</t>
        </is>
      </c>
      <c r="C6" s="5">
        <f>VLOOKUP(A6,'01_Hero_Base'!$A$5:$N$12,5,FALSE)</f>
      </c>
      <c r="D6" s="5">
        <f>VLOOKUP(A6,'01_Hero_Base'!$A$5:$N$12,6,FALSE)</f>
      </c>
      <c r="E6" s="5">
        <f>VLOOKUP(B6,'01_Hero_Base'!$A$5:$N$12,6,FALSE)</f>
      </c>
      <c r="F6" s="5">
        <f>VLOOKUP(B6,'01_Hero_Base'!$A$5:$N$12,7,FALSE)</f>
      </c>
      <c r="G6" s="5">
        <f>VLOOKUP(A6,'01_Hero_Base'!$A$5:$N$12,4,FALSE)</f>
      </c>
      <c r="H6" s="5">
        <f>D6</f>
      </c>
      <c r="I6" s="5">
        <f>MAX(0,E6-'00_Assumptions'!$C$10)</f>
      </c>
      <c r="J6" s="5">
        <f>H6-I6</f>
      </c>
      <c r="K6" s="5">
        <f>IF(C6=0,0,H6/C6)</f>
      </c>
      <c r="L6" s="5">
        <f>IF(H6=0,"∞",ROUNDUP(F6/H6,0))</f>
      </c>
      <c r="M6" s="5">
        <f>IF(I6&gt;=3,"高",IF(I6&gt;=2,"中","低"))</f>
      </c>
      <c r="N6" t="inlineStr" s="6">
        <is>
          <t>基础交换；不代表实战预测。</t>
        </is>
      </c>
    </row>
    <row r="7">
      <c r="A7" t="inlineStr" s="0">
        <is>
          <t>peasant</t>
        </is>
      </c>
      <c r="B7" t="inlineStr" s="0">
        <is>
          <t>mage</t>
        </is>
      </c>
      <c r="C7" s="5">
        <f>VLOOKUP(A7,'01_Hero_Base'!$A$5:$N$12,5,FALSE)</f>
      </c>
      <c r="D7" s="5">
        <f>VLOOKUP(A7,'01_Hero_Base'!$A$5:$N$12,6,FALSE)</f>
      </c>
      <c r="E7" s="5">
        <f>VLOOKUP(B7,'01_Hero_Base'!$A$5:$N$12,6,FALSE)</f>
      </c>
      <c r="F7" s="5">
        <f>VLOOKUP(B7,'01_Hero_Base'!$A$5:$N$12,7,FALSE)</f>
      </c>
      <c r="G7" s="5">
        <f>VLOOKUP(A7,'01_Hero_Base'!$A$5:$N$12,4,FALSE)</f>
      </c>
      <c r="H7" s="5">
        <f>D7</f>
      </c>
      <c r="I7" s="5">
        <f>MAX(0,E7-'00_Assumptions'!$C$10)</f>
      </c>
      <c r="J7" s="5">
        <f>H7-I7</f>
      </c>
      <c r="K7" s="5">
        <f>IF(C7=0,0,H7/C7)</f>
      </c>
      <c r="L7" s="5">
        <f>IF(H7=0,"∞",ROUNDUP(F7/H7,0))</f>
      </c>
      <c r="M7" s="5">
        <f>IF(I7&gt;=3,"高",IF(I7&gt;=2,"中","低"))</f>
      </c>
      <c r="N7" t="inlineStr" s="6">
        <is>
          <t>基础交换；不代表实战预测。</t>
        </is>
      </c>
    </row>
    <row r="8">
      <c r="A8" t="inlineStr" s="0">
        <is>
          <t>peasant</t>
        </is>
      </c>
      <c r="B8" t="inlineStr" s="0">
        <is>
          <t>oracle</t>
        </is>
      </c>
      <c r="C8" s="5">
        <f>VLOOKUP(A8,'01_Hero_Base'!$A$5:$N$12,5,FALSE)</f>
      </c>
      <c r="D8" s="5">
        <f>VLOOKUP(A8,'01_Hero_Base'!$A$5:$N$12,6,FALSE)</f>
      </c>
      <c r="E8" s="5">
        <f>VLOOKUP(B8,'01_Hero_Base'!$A$5:$N$12,6,FALSE)</f>
      </c>
      <c r="F8" s="5">
        <f>VLOOKUP(B8,'01_Hero_Base'!$A$5:$N$12,7,FALSE)</f>
      </c>
      <c r="G8" s="5">
        <f>VLOOKUP(A8,'01_Hero_Base'!$A$5:$N$12,4,FALSE)</f>
      </c>
      <c r="H8" s="5">
        <f>D8</f>
      </c>
      <c r="I8" s="5">
        <f>MAX(0,E8-'00_Assumptions'!$C$10)</f>
      </c>
      <c r="J8" s="5">
        <f>H8-I8</f>
      </c>
      <c r="K8" s="5">
        <f>IF(C8=0,0,H8/C8)</f>
      </c>
      <c r="L8" s="5">
        <f>IF(H8=0,"∞",ROUNDUP(F8/H8,0))</f>
      </c>
      <c r="M8" s="5">
        <f>IF(I8&gt;=3,"高",IF(I8&gt;=2,"中","低"))</f>
      </c>
      <c r="N8" t="inlineStr" s="6">
        <is>
          <t>基础交换；不代表实战预测。</t>
        </is>
      </c>
    </row>
    <row r="9">
      <c r="A9" t="inlineStr" s="0">
        <is>
          <t>peasant</t>
        </is>
      </c>
      <c r="B9" t="inlineStr" s="0">
        <is>
          <t>knight</t>
        </is>
      </c>
      <c r="C9" s="5">
        <f>VLOOKUP(A9,'01_Hero_Base'!$A$5:$N$12,5,FALSE)</f>
      </c>
      <c r="D9" s="5">
        <f>VLOOKUP(A9,'01_Hero_Base'!$A$5:$N$12,6,FALSE)</f>
      </c>
      <c r="E9" s="5">
        <f>VLOOKUP(B9,'01_Hero_Base'!$A$5:$N$12,6,FALSE)</f>
      </c>
      <c r="F9" s="5">
        <f>VLOOKUP(B9,'01_Hero_Base'!$A$5:$N$12,7,FALSE)</f>
      </c>
      <c r="G9" s="5">
        <f>VLOOKUP(A9,'01_Hero_Base'!$A$5:$N$12,4,FALSE)</f>
      </c>
      <c r="H9" s="5">
        <f>D9</f>
      </c>
      <c r="I9" s="5">
        <f>MAX(0,E9-'00_Assumptions'!$C$10)</f>
      </c>
      <c r="J9" s="5">
        <f>H9-I9</f>
      </c>
      <c r="K9" s="5">
        <f>IF(C9=0,0,H9/C9)</f>
      </c>
      <c r="L9" s="5">
        <f>IF(H9=0,"∞",ROUNDUP(F9/H9,0))</f>
      </c>
      <c r="M9" s="5">
        <f>IF(I9&gt;=3,"高",IF(I9&gt;=2,"中","低"))</f>
      </c>
      <c r="N9" t="inlineStr" s="6">
        <is>
          <t>基础交换；不代表实战预测。</t>
        </is>
      </c>
    </row>
    <row r="10">
      <c r="A10" t="inlineStr" s="0">
        <is>
          <t>peasant</t>
        </is>
      </c>
      <c r="B10" t="inlineStr" s="0">
        <is>
          <t>druid</t>
        </is>
      </c>
      <c r="C10" s="5">
        <f>VLOOKUP(A10,'01_Hero_Base'!$A$5:$N$12,5,FALSE)</f>
      </c>
      <c r="D10" s="5">
        <f>VLOOKUP(A10,'01_Hero_Base'!$A$5:$N$12,6,FALSE)</f>
      </c>
      <c r="E10" s="5">
        <f>VLOOKUP(B10,'01_Hero_Base'!$A$5:$N$12,6,FALSE)</f>
      </c>
      <c r="F10" s="5">
        <f>VLOOKUP(B10,'01_Hero_Base'!$A$5:$N$12,7,FALSE)</f>
      </c>
      <c r="G10" s="5">
        <f>VLOOKUP(A10,'01_Hero_Base'!$A$5:$N$12,4,FALSE)</f>
      </c>
      <c r="H10" s="5">
        <f>D10</f>
      </c>
      <c r="I10" s="5">
        <f>MAX(0,E10-'00_Assumptions'!$C$10)</f>
      </c>
      <c r="J10" s="5">
        <f>H10-I10</f>
      </c>
      <c r="K10" s="5">
        <f>IF(C10=0,0,H10/C10)</f>
      </c>
      <c r="L10" s="5">
        <f>IF(H10=0,"∞",ROUNDUP(F10/H10,0))</f>
      </c>
      <c r="M10" s="5">
        <f>IF(I10&gt;=3,"高",IF(I10&gt;=2,"中","低"))</f>
      </c>
      <c r="N10" t="inlineStr" s="6">
        <is>
          <t>基础交换；不代表实战预测。</t>
        </is>
      </c>
    </row>
    <row r="11">
      <c r="A11" t="inlineStr" s="0">
        <is>
          <t>peasant</t>
        </is>
      </c>
      <c r="B11" t="inlineStr" s="0">
        <is>
          <t>barbarian</t>
        </is>
      </c>
      <c r="C11" s="5">
        <f>VLOOKUP(A11,'01_Hero_Base'!$A$5:$N$12,5,FALSE)</f>
      </c>
      <c r="D11" s="5">
        <f>VLOOKUP(A11,'01_Hero_Base'!$A$5:$N$12,6,FALSE)</f>
      </c>
      <c r="E11" s="5">
        <f>VLOOKUP(B11,'01_Hero_Base'!$A$5:$N$12,6,FALSE)</f>
      </c>
      <c r="F11" s="5">
        <f>VLOOKUP(B11,'01_Hero_Base'!$A$5:$N$12,7,FALSE)</f>
      </c>
      <c r="G11" s="5">
        <f>VLOOKUP(A11,'01_Hero_Base'!$A$5:$N$12,4,FALSE)</f>
      </c>
      <c r="H11" s="5">
        <f>D11</f>
      </c>
      <c r="I11" s="5">
        <f>MAX(0,E11-'00_Assumptions'!$C$10)</f>
      </c>
      <c r="J11" s="5">
        <f>H11-I11</f>
      </c>
      <c r="K11" s="5">
        <f>IF(C11=0,0,H11/C11)</f>
      </c>
      <c r="L11" s="5">
        <f>IF(H11=0,"∞",ROUNDUP(F11/H11,0))</f>
      </c>
      <c r="M11" s="5">
        <f>IF(I11&gt;=3,"高",IF(I11&gt;=2,"中","低"))</f>
      </c>
      <c r="N11" t="inlineStr" s="6">
        <is>
          <t>基础交换；不代表实战预测。</t>
        </is>
      </c>
    </row>
    <row r="12">
      <c r="A12" t="inlineStr" s="0">
        <is>
          <t>peasant</t>
        </is>
      </c>
      <c r="B12" t="inlineStr" s="0">
        <is>
          <t>monster</t>
        </is>
      </c>
      <c r="C12" s="5">
        <f>VLOOKUP(A12,'01_Hero_Base'!$A$5:$N$12,5,FALSE)</f>
      </c>
      <c r="D12" s="5">
        <f>VLOOKUP(A12,'01_Hero_Base'!$A$5:$N$12,6,FALSE)</f>
      </c>
      <c r="E12" s="5">
        <f>VLOOKUP(B12,'01_Hero_Base'!$A$5:$N$12,6,FALSE)</f>
      </c>
      <c r="F12" s="5">
        <f>VLOOKUP(B12,'01_Hero_Base'!$A$5:$N$12,7,FALSE)</f>
      </c>
      <c r="G12" s="5">
        <f>VLOOKUP(A12,'01_Hero_Base'!$A$5:$N$12,4,FALSE)</f>
      </c>
      <c r="H12" s="5">
        <f>D12</f>
      </c>
      <c r="I12" s="5">
        <f>MAX(0,E12-'00_Assumptions'!$C$10)</f>
      </c>
      <c r="J12" s="5">
        <f>H12-I12</f>
      </c>
      <c r="K12" s="5">
        <f>IF(C12=0,0,H12/C12)</f>
      </c>
      <c r="L12" s="5">
        <f>IF(H12=0,"∞",ROUNDUP(F12/H12,0))</f>
      </c>
      <c r="M12" s="5">
        <f>IF(I12&gt;=3,"高",IF(I12&gt;=2,"中","低"))</f>
      </c>
      <c r="N12" t="inlineStr" s="6">
        <is>
          <t>基础交换；不代表实战预测。</t>
        </is>
      </c>
    </row>
    <row r="13">
      <c r="A13" t="inlineStr" s="0">
        <is>
          <t>princess</t>
        </is>
      </c>
      <c r="B13" t="inlineStr" s="0">
        <is>
          <t>peasant</t>
        </is>
      </c>
      <c r="C13" s="5">
        <f>VLOOKUP(A13,'01_Hero_Base'!$A$5:$N$12,5,FALSE)</f>
      </c>
      <c r="D13" s="5">
        <f>VLOOKUP(A13,'01_Hero_Base'!$A$5:$N$12,6,FALSE)</f>
      </c>
      <c r="E13" s="5">
        <f>VLOOKUP(B13,'01_Hero_Base'!$A$5:$N$12,6,FALSE)</f>
      </c>
      <c r="F13" s="5">
        <f>VLOOKUP(B13,'01_Hero_Base'!$A$5:$N$12,7,FALSE)</f>
      </c>
      <c r="G13" s="5">
        <f>VLOOKUP(A13,'01_Hero_Base'!$A$5:$N$12,4,FALSE)</f>
      </c>
      <c r="H13" s="5">
        <f>D13</f>
      </c>
      <c r="I13" s="5">
        <f>MAX(0,E13-'00_Assumptions'!$C$10)</f>
      </c>
      <c r="J13" s="5">
        <f>H13-I13</f>
      </c>
      <c r="K13" s="5">
        <f>IF(C13=0,0,H13/C13)</f>
      </c>
      <c r="L13" s="5">
        <f>IF(H13=0,"∞",ROUNDUP(F13/H13,0))</f>
      </c>
      <c r="M13" s="5">
        <f>IF(I13&gt;=3,"高",IF(I13&gt;=2,"中","低"))</f>
      </c>
      <c r="N13" t="inlineStr" s="6">
        <is>
          <t>基础交换；不代表实战预测。</t>
        </is>
      </c>
    </row>
    <row r="14">
      <c r="A14" t="inlineStr" s="0">
        <is>
          <t>princess</t>
        </is>
      </c>
      <c r="B14" t="inlineStr" s="0">
        <is>
          <t>princess</t>
        </is>
      </c>
      <c r="C14" s="5">
        <f>VLOOKUP(A14,'01_Hero_Base'!$A$5:$N$12,5,FALSE)</f>
      </c>
      <c r="D14" s="5">
        <f>VLOOKUP(A14,'01_Hero_Base'!$A$5:$N$12,6,FALSE)</f>
      </c>
      <c r="E14" s="5">
        <f>VLOOKUP(B14,'01_Hero_Base'!$A$5:$N$12,6,FALSE)</f>
      </c>
      <c r="F14" s="5">
        <f>VLOOKUP(B14,'01_Hero_Base'!$A$5:$N$12,7,FALSE)</f>
      </c>
      <c r="G14" s="5">
        <f>VLOOKUP(A14,'01_Hero_Base'!$A$5:$N$12,4,FALSE)</f>
      </c>
      <c r="H14" s="5">
        <f>D14</f>
      </c>
      <c r="I14" s="5">
        <f>MAX(0,E14-'00_Assumptions'!$C$10)</f>
      </c>
      <c r="J14" s="5">
        <f>H14-I14</f>
      </c>
      <c r="K14" s="5">
        <f>IF(C14=0,0,H14/C14)</f>
      </c>
      <c r="L14" s="5">
        <f>IF(H14=0,"∞",ROUNDUP(F14/H14,0))</f>
      </c>
      <c r="M14" s="5">
        <f>IF(I14&gt;=3,"高",IF(I14&gt;=2,"中","低"))</f>
      </c>
      <c r="N14" t="inlineStr" s="6">
        <is>
          <t>基础交换；不代表实战预测。</t>
        </is>
      </c>
    </row>
    <row r="15">
      <c r="A15" t="inlineStr" s="0">
        <is>
          <t>princess</t>
        </is>
      </c>
      <c r="B15" t="inlineStr" s="0">
        <is>
          <t>mage</t>
        </is>
      </c>
      <c r="C15" s="5">
        <f>VLOOKUP(A15,'01_Hero_Base'!$A$5:$N$12,5,FALSE)</f>
      </c>
      <c r="D15" s="5">
        <f>VLOOKUP(A15,'01_Hero_Base'!$A$5:$N$12,6,FALSE)</f>
      </c>
      <c r="E15" s="5">
        <f>VLOOKUP(B15,'01_Hero_Base'!$A$5:$N$12,6,FALSE)</f>
      </c>
      <c r="F15" s="5">
        <f>VLOOKUP(B15,'01_Hero_Base'!$A$5:$N$12,7,FALSE)</f>
      </c>
      <c r="G15" s="5">
        <f>VLOOKUP(A15,'01_Hero_Base'!$A$5:$N$12,4,FALSE)</f>
      </c>
      <c r="H15" s="5">
        <f>D15</f>
      </c>
      <c r="I15" s="5">
        <f>MAX(0,E15-'00_Assumptions'!$C$10)</f>
      </c>
      <c r="J15" s="5">
        <f>H15-I15</f>
      </c>
      <c r="K15" s="5">
        <f>IF(C15=0,0,H15/C15)</f>
      </c>
      <c r="L15" s="5">
        <f>IF(H15=0,"∞",ROUNDUP(F15/H15,0))</f>
      </c>
      <c r="M15" s="5">
        <f>IF(I15&gt;=3,"高",IF(I15&gt;=2,"中","低"))</f>
      </c>
      <c r="N15" t="inlineStr" s="6">
        <is>
          <t>基础交换；不代表实战预测。</t>
        </is>
      </c>
    </row>
    <row r="16">
      <c r="A16" t="inlineStr" s="0">
        <is>
          <t>princess</t>
        </is>
      </c>
      <c r="B16" t="inlineStr" s="0">
        <is>
          <t>oracle</t>
        </is>
      </c>
      <c r="C16" s="5">
        <f>VLOOKUP(A16,'01_Hero_Base'!$A$5:$N$12,5,FALSE)</f>
      </c>
      <c r="D16" s="5">
        <f>VLOOKUP(A16,'01_Hero_Base'!$A$5:$N$12,6,FALSE)</f>
      </c>
      <c r="E16" s="5">
        <f>VLOOKUP(B16,'01_Hero_Base'!$A$5:$N$12,6,FALSE)</f>
      </c>
      <c r="F16" s="5">
        <f>VLOOKUP(B16,'01_Hero_Base'!$A$5:$N$12,7,FALSE)</f>
      </c>
      <c r="G16" s="5">
        <f>VLOOKUP(A16,'01_Hero_Base'!$A$5:$N$12,4,FALSE)</f>
      </c>
      <c r="H16" s="5">
        <f>D16</f>
      </c>
      <c r="I16" s="5">
        <f>MAX(0,E16-'00_Assumptions'!$C$10)</f>
      </c>
      <c r="J16" s="5">
        <f>H16-I16</f>
      </c>
      <c r="K16" s="5">
        <f>IF(C16=0,0,H16/C16)</f>
      </c>
      <c r="L16" s="5">
        <f>IF(H16=0,"∞",ROUNDUP(F16/H16,0))</f>
      </c>
      <c r="M16" s="5">
        <f>IF(I16&gt;=3,"高",IF(I16&gt;=2,"中","低"))</f>
      </c>
      <c r="N16" t="inlineStr" s="6">
        <is>
          <t>基础交换；不代表实战预测。</t>
        </is>
      </c>
    </row>
    <row r="17">
      <c r="A17" t="inlineStr" s="0">
        <is>
          <t>princess</t>
        </is>
      </c>
      <c r="B17" t="inlineStr" s="0">
        <is>
          <t>knight</t>
        </is>
      </c>
      <c r="C17" s="5">
        <f>VLOOKUP(A17,'01_Hero_Base'!$A$5:$N$12,5,FALSE)</f>
      </c>
      <c r="D17" s="5">
        <f>VLOOKUP(A17,'01_Hero_Base'!$A$5:$N$12,6,FALSE)</f>
      </c>
      <c r="E17" s="5">
        <f>VLOOKUP(B17,'01_Hero_Base'!$A$5:$N$12,6,FALSE)</f>
      </c>
      <c r="F17" s="5">
        <f>VLOOKUP(B17,'01_Hero_Base'!$A$5:$N$12,7,FALSE)</f>
      </c>
      <c r="G17" s="5">
        <f>VLOOKUP(A17,'01_Hero_Base'!$A$5:$N$12,4,FALSE)</f>
      </c>
      <c r="H17" s="5">
        <f>D17</f>
      </c>
      <c r="I17" s="5">
        <f>MAX(0,E17-'00_Assumptions'!$C$10)</f>
      </c>
      <c r="J17" s="5">
        <f>H17-I17</f>
      </c>
      <c r="K17" s="5">
        <f>IF(C17=0,0,H17/C17)</f>
      </c>
      <c r="L17" s="5">
        <f>IF(H17=0,"∞",ROUNDUP(F17/H17,0))</f>
      </c>
      <c r="M17" s="5">
        <f>IF(I17&gt;=3,"高",IF(I17&gt;=2,"中","低"))</f>
      </c>
      <c r="N17" t="inlineStr" s="6">
        <is>
          <t>基础交换；不代表实战预测。</t>
        </is>
      </c>
    </row>
    <row r="18">
      <c r="A18" t="inlineStr" s="0">
        <is>
          <t>princess</t>
        </is>
      </c>
      <c r="B18" t="inlineStr" s="0">
        <is>
          <t>druid</t>
        </is>
      </c>
      <c r="C18" s="5">
        <f>VLOOKUP(A18,'01_Hero_Base'!$A$5:$N$12,5,FALSE)</f>
      </c>
      <c r="D18" s="5">
        <f>VLOOKUP(A18,'01_Hero_Base'!$A$5:$N$12,6,FALSE)</f>
      </c>
      <c r="E18" s="5">
        <f>VLOOKUP(B18,'01_Hero_Base'!$A$5:$N$12,6,FALSE)</f>
      </c>
      <c r="F18" s="5">
        <f>VLOOKUP(B18,'01_Hero_Base'!$A$5:$N$12,7,FALSE)</f>
      </c>
      <c r="G18" s="5">
        <f>VLOOKUP(A18,'01_Hero_Base'!$A$5:$N$12,4,FALSE)</f>
      </c>
      <c r="H18" s="5">
        <f>D18</f>
      </c>
      <c r="I18" s="5">
        <f>MAX(0,E18-'00_Assumptions'!$C$10)</f>
      </c>
      <c r="J18" s="5">
        <f>H18-I18</f>
      </c>
      <c r="K18" s="5">
        <f>IF(C18=0,0,H18/C18)</f>
      </c>
      <c r="L18" s="5">
        <f>IF(H18=0,"∞",ROUNDUP(F18/H18,0))</f>
      </c>
      <c r="M18" s="5">
        <f>IF(I18&gt;=3,"高",IF(I18&gt;=2,"中","低"))</f>
      </c>
      <c r="N18" t="inlineStr" s="6">
        <is>
          <t>基础交换；不代表实战预测。</t>
        </is>
      </c>
    </row>
    <row r="19">
      <c r="A19" t="inlineStr" s="0">
        <is>
          <t>princess</t>
        </is>
      </c>
      <c r="B19" t="inlineStr" s="0">
        <is>
          <t>barbarian</t>
        </is>
      </c>
      <c r="C19" s="5">
        <f>VLOOKUP(A19,'01_Hero_Base'!$A$5:$N$12,5,FALSE)</f>
      </c>
      <c r="D19" s="5">
        <f>VLOOKUP(A19,'01_Hero_Base'!$A$5:$N$12,6,FALSE)</f>
      </c>
      <c r="E19" s="5">
        <f>VLOOKUP(B19,'01_Hero_Base'!$A$5:$N$12,6,FALSE)</f>
      </c>
      <c r="F19" s="5">
        <f>VLOOKUP(B19,'01_Hero_Base'!$A$5:$N$12,7,FALSE)</f>
      </c>
      <c r="G19" s="5">
        <f>VLOOKUP(A19,'01_Hero_Base'!$A$5:$N$12,4,FALSE)</f>
      </c>
      <c r="H19" s="5">
        <f>D19</f>
      </c>
      <c r="I19" s="5">
        <f>MAX(0,E19-'00_Assumptions'!$C$10)</f>
      </c>
      <c r="J19" s="5">
        <f>H19-I19</f>
      </c>
      <c r="K19" s="5">
        <f>IF(C19=0,0,H19/C19)</f>
      </c>
      <c r="L19" s="5">
        <f>IF(H19=0,"∞",ROUNDUP(F19/H19,0))</f>
      </c>
      <c r="M19" s="5">
        <f>IF(I19&gt;=3,"高",IF(I19&gt;=2,"中","低"))</f>
      </c>
      <c r="N19" t="inlineStr" s="6">
        <is>
          <t>基础交换；不代表实战预测。</t>
        </is>
      </c>
    </row>
    <row r="20">
      <c r="A20" t="inlineStr" s="0">
        <is>
          <t>princess</t>
        </is>
      </c>
      <c r="B20" t="inlineStr" s="0">
        <is>
          <t>monster</t>
        </is>
      </c>
      <c r="C20" s="5">
        <f>VLOOKUP(A20,'01_Hero_Base'!$A$5:$N$12,5,FALSE)</f>
      </c>
      <c r="D20" s="5">
        <f>VLOOKUP(A20,'01_Hero_Base'!$A$5:$N$12,6,FALSE)</f>
      </c>
      <c r="E20" s="5">
        <f>VLOOKUP(B20,'01_Hero_Base'!$A$5:$N$12,6,FALSE)</f>
      </c>
      <c r="F20" s="5">
        <f>VLOOKUP(B20,'01_Hero_Base'!$A$5:$N$12,7,FALSE)</f>
      </c>
      <c r="G20" s="5">
        <f>VLOOKUP(A20,'01_Hero_Base'!$A$5:$N$12,4,FALSE)</f>
      </c>
      <c r="H20" s="5">
        <f>D20</f>
      </c>
      <c r="I20" s="5">
        <f>MAX(0,E20-'00_Assumptions'!$C$10)</f>
      </c>
      <c r="J20" s="5">
        <f>H20-I20</f>
      </c>
      <c r="K20" s="5">
        <f>IF(C20=0,0,H20/C20)</f>
      </c>
      <c r="L20" s="5">
        <f>IF(H20=0,"∞",ROUNDUP(F20/H20,0))</f>
      </c>
      <c r="M20" s="5">
        <f>IF(I20&gt;=3,"高",IF(I20&gt;=2,"中","低"))</f>
      </c>
      <c r="N20" t="inlineStr" s="6">
        <is>
          <t>基础交换；不代表实战预测。</t>
        </is>
      </c>
    </row>
    <row r="21">
      <c r="A21" t="inlineStr" s="0">
        <is>
          <t>mage</t>
        </is>
      </c>
      <c r="B21" t="inlineStr" s="0">
        <is>
          <t>peasant</t>
        </is>
      </c>
      <c r="C21" s="5">
        <f>VLOOKUP(A21,'01_Hero_Base'!$A$5:$N$12,5,FALSE)</f>
      </c>
      <c r="D21" s="5">
        <f>VLOOKUP(A21,'01_Hero_Base'!$A$5:$N$12,6,FALSE)</f>
      </c>
      <c r="E21" s="5">
        <f>VLOOKUP(B21,'01_Hero_Base'!$A$5:$N$12,6,FALSE)</f>
      </c>
      <c r="F21" s="5">
        <f>VLOOKUP(B21,'01_Hero_Base'!$A$5:$N$12,7,FALSE)</f>
      </c>
      <c r="G21" s="5">
        <f>VLOOKUP(A21,'01_Hero_Base'!$A$5:$N$12,4,FALSE)</f>
      </c>
      <c r="H21" s="5">
        <f>D21</f>
      </c>
      <c r="I21" s="5">
        <f>MAX(0,E21-'00_Assumptions'!$C$10)</f>
      </c>
      <c r="J21" s="5">
        <f>H21-I21</f>
      </c>
      <c r="K21" s="5">
        <f>IF(C21=0,0,H21/C21)</f>
      </c>
      <c r="L21" s="5">
        <f>IF(H21=0,"∞",ROUNDUP(F21/H21,0))</f>
      </c>
      <c r="M21" s="5">
        <f>IF(I21&gt;=3,"高",IF(I21&gt;=2,"中","低"))</f>
      </c>
      <c r="N21" t="inlineStr" s="6">
        <is>
          <t>基础交换；不代表实战预测。</t>
        </is>
      </c>
    </row>
    <row r="22">
      <c r="A22" t="inlineStr" s="0">
        <is>
          <t>mage</t>
        </is>
      </c>
      <c r="B22" t="inlineStr" s="0">
        <is>
          <t>princess</t>
        </is>
      </c>
      <c r="C22" s="5">
        <f>VLOOKUP(A22,'01_Hero_Base'!$A$5:$N$12,5,FALSE)</f>
      </c>
      <c r="D22" s="5">
        <f>VLOOKUP(A22,'01_Hero_Base'!$A$5:$N$12,6,FALSE)</f>
      </c>
      <c r="E22" s="5">
        <f>VLOOKUP(B22,'01_Hero_Base'!$A$5:$N$12,6,FALSE)</f>
      </c>
      <c r="F22" s="5">
        <f>VLOOKUP(B22,'01_Hero_Base'!$A$5:$N$12,7,FALSE)</f>
      </c>
      <c r="G22" s="5">
        <f>VLOOKUP(A22,'01_Hero_Base'!$A$5:$N$12,4,FALSE)</f>
      </c>
      <c r="H22" s="5">
        <f>D22</f>
      </c>
      <c r="I22" s="5">
        <f>MAX(0,E22-'00_Assumptions'!$C$10)</f>
      </c>
      <c r="J22" s="5">
        <f>H22-I22</f>
      </c>
      <c r="K22" s="5">
        <f>IF(C22=0,0,H22/C22)</f>
      </c>
      <c r="L22" s="5">
        <f>IF(H22=0,"∞",ROUNDUP(F22/H22,0))</f>
      </c>
      <c r="M22" s="5">
        <f>IF(I22&gt;=3,"高",IF(I22&gt;=2,"中","低"))</f>
      </c>
      <c r="N22" t="inlineStr" s="6">
        <is>
          <t>基础交换；不代表实战预测。</t>
        </is>
      </c>
    </row>
    <row r="23">
      <c r="A23" t="inlineStr" s="0">
        <is>
          <t>mage</t>
        </is>
      </c>
      <c r="B23" t="inlineStr" s="0">
        <is>
          <t>mage</t>
        </is>
      </c>
      <c r="C23" s="5">
        <f>VLOOKUP(A23,'01_Hero_Base'!$A$5:$N$12,5,FALSE)</f>
      </c>
      <c r="D23" s="5">
        <f>VLOOKUP(A23,'01_Hero_Base'!$A$5:$N$12,6,FALSE)</f>
      </c>
      <c r="E23" s="5">
        <f>VLOOKUP(B23,'01_Hero_Base'!$A$5:$N$12,6,FALSE)</f>
      </c>
      <c r="F23" s="5">
        <f>VLOOKUP(B23,'01_Hero_Base'!$A$5:$N$12,7,FALSE)</f>
      </c>
      <c r="G23" s="5">
        <f>VLOOKUP(A23,'01_Hero_Base'!$A$5:$N$12,4,FALSE)</f>
      </c>
      <c r="H23" s="5">
        <f>D23</f>
      </c>
      <c r="I23" s="5">
        <f>MAX(0,E23-'00_Assumptions'!$C$10)</f>
      </c>
      <c r="J23" s="5">
        <f>H23-I23</f>
      </c>
      <c r="K23" s="5">
        <f>IF(C23=0,0,H23/C23)</f>
      </c>
      <c r="L23" s="5">
        <f>IF(H23=0,"∞",ROUNDUP(F23/H23,0))</f>
      </c>
      <c r="M23" s="5">
        <f>IF(I23&gt;=3,"高",IF(I23&gt;=2,"中","低"))</f>
      </c>
      <c r="N23" t="inlineStr" s="6">
        <is>
          <t>基础交换；不代表实战预测。</t>
        </is>
      </c>
    </row>
    <row r="24">
      <c r="A24" t="inlineStr" s="0">
        <is>
          <t>mage</t>
        </is>
      </c>
      <c r="B24" t="inlineStr" s="0">
        <is>
          <t>oracle</t>
        </is>
      </c>
      <c r="C24" s="5">
        <f>VLOOKUP(A24,'01_Hero_Base'!$A$5:$N$12,5,FALSE)</f>
      </c>
      <c r="D24" s="5">
        <f>VLOOKUP(A24,'01_Hero_Base'!$A$5:$N$12,6,FALSE)</f>
      </c>
      <c r="E24" s="5">
        <f>VLOOKUP(B24,'01_Hero_Base'!$A$5:$N$12,6,FALSE)</f>
      </c>
      <c r="F24" s="5">
        <f>VLOOKUP(B24,'01_Hero_Base'!$A$5:$N$12,7,FALSE)</f>
      </c>
      <c r="G24" s="5">
        <f>VLOOKUP(A24,'01_Hero_Base'!$A$5:$N$12,4,FALSE)</f>
      </c>
      <c r="H24" s="5">
        <f>D24</f>
      </c>
      <c r="I24" s="5">
        <f>MAX(0,E24-'00_Assumptions'!$C$10)</f>
      </c>
      <c r="J24" s="5">
        <f>H24-I24</f>
      </c>
      <c r="K24" s="5">
        <f>IF(C24=0,0,H24/C24)</f>
      </c>
      <c r="L24" s="5">
        <f>IF(H24=0,"∞",ROUNDUP(F24/H24,0))</f>
      </c>
      <c r="M24" s="5">
        <f>IF(I24&gt;=3,"高",IF(I24&gt;=2,"中","低"))</f>
      </c>
      <c r="N24" t="inlineStr" s="6">
        <is>
          <t>基础交换；不代表实战预测。</t>
        </is>
      </c>
    </row>
    <row r="25">
      <c r="A25" t="inlineStr" s="0">
        <is>
          <t>mage</t>
        </is>
      </c>
      <c r="B25" t="inlineStr" s="0">
        <is>
          <t>knight</t>
        </is>
      </c>
      <c r="C25" s="5">
        <f>VLOOKUP(A25,'01_Hero_Base'!$A$5:$N$12,5,FALSE)</f>
      </c>
      <c r="D25" s="5">
        <f>VLOOKUP(A25,'01_Hero_Base'!$A$5:$N$12,6,FALSE)</f>
      </c>
      <c r="E25" s="5">
        <f>VLOOKUP(B25,'01_Hero_Base'!$A$5:$N$12,6,FALSE)</f>
      </c>
      <c r="F25" s="5">
        <f>VLOOKUP(B25,'01_Hero_Base'!$A$5:$N$12,7,FALSE)</f>
      </c>
      <c r="G25" s="5">
        <f>VLOOKUP(A25,'01_Hero_Base'!$A$5:$N$12,4,FALSE)</f>
      </c>
      <c r="H25" s="5">
        <f>D25</f>
      </c>
      <c r="I25" s="5">
        <f>MAX(0,E25-'00_Assumptions'!$C$10)</f>
      </c>
      <c r="J25" s="5">
        <f>H25-I25</f>
      </c>
      <c r="K25" s="5">
        <f>IF(C25=0,0,H25/C25)</f>
      </c>
      <c r="L25" s="5">
        <f>IF(H25=0,"∞",ROUNDUP(F25/H25,0))</f>
      </c>
      <c r="M25" s="5">
        <f>IF(I25&gt;=3,"高",IF(I25&gt;=2,"中","低"))</f>
      </c>
      <c r="N25" t="inlineStr" s="6">
        <is>
          <t>基础交换；不代表实战预测。</t>
        </is>
      </c>
    </row>
    <row r="26">
      <c r="A26" t="inlineStr" s="0">
        <is>
          <t>mage</t>
        </is>
      </c>
      <c r="B26" t="inlineStr" s="0">
        <is>
          <t>druid</t>
        </is>
      </c>
      <c r="C26" s="5">
        <f>VLOOKUP(A26,'01_Hero_Base'!$A$5:$N$12,5,FALSE)</f>
      </c>
      <c r="D26" s="5">
        <f>VLOOKUP(A26,'01_Hero_Base'!$A$5:$N$12,6,FALSE)</f>
      </c>
      <c r="E26" s="5">
        <f>VLOOKUP(B26,'01_Hero_Base'!$A$5:$N$12,6,FALSE)</f>
      </c>
      <c r="F26" s="5">
        <f>VLOOKUP(B26,'01_Hero_Base'!$A$5:$N$12,7,FALSE)</f>
      </c>
      <c r="G26" s="5">
        <f>VLOOKUP(A26,'01_Hero_Base'!$A$5:$N$12,4,FALSE)</f>
      </c>
      <c r="H26" s="5">
        <f>D26</f>
      </c>
      <c r="I26" s="5">
        <f>MAX(0,E26-'00_Assumptions'!$C$10)</f>
      </c>
      <c r="J26" s="5">
        <f>H26-I26</f>
      </c>
      <c r="K26" s="5">
        <f>IF(C26=0,0,H26/C26)</f>
      </c>
      <c r="L26" s="5">
        <f>IF(H26=0,"∞",ROUNDUP(F26/H26,0))</f>
      </c>
      <c r="M26" s="5">
        <f>IF(I26&gt;=3,"高",IF(I26&gt;=2,"中","低"))</f>
      </c>
      <c r="N26" t="inlineStr" s="6">
        <is>
          <t>基础交换；不代表实战预测。</t>
        </is>
      </c>
    </row>
    <row r="27">
      <c r="A27" t="inlineStr" s="0">
        <is>
          <t>mage</t>
        </is>
      </c>
      <c r="B27" t="inlineStr" s="0">
        <is>
          <t>barbarian</t>
        </is>
      </c>
      <c r="C27" s="5">
        <f>VLOOKUP(A27,'01_Hero_Base'!$A$5:$N$12,5,FALSE)</f>
      </c>
      <c r="D27" s="5">
        <f>VLOOKUP(A27,'01_Hero_Base'!$A$5:$N$12,6,FALSE)</f>
      </c>
      <c r="E27" s="5">
        <f>VLOOKUP(B27,'01_Hero_Base'!$A$5:$N$12,6,FALSE)</f>
      </c>
      <c r="F27" s="5">
        <f>VLOOKUP(B27,'01_Hero_Base'!$A$5:$N$12,7,FALSE)</f>
      </c>
      <c r="G27" s="5">
        <f>VLOOKUP(A27,'01_Hero_Base'!$A$5:$N$12,4,FALSE)</f>
      </c>
      <c r="H27" s="5">
        <f>D27</f>
      </c>
      <c r="I27" s="5">
        <f>MAX(0,E27-'00_Assumptions'!$C$10)</f>
      </c>
      <c r="J27" s="5">
        <f>H27-I27</f>
      </c>
      <c r="K27" s="5">
        <f>IF(C27=0,0,H27/C27)</f>
      </c>
      <c r="L27" s="5">
        <f>IF(H27=0,"∞",ROUNDUP(F27/H27,0))</f>
      </c>
      <c r="M27" s="5">
        <f>IF(I27&gt;=3,"高",IF(I27&gt;=2,"中","低"))</f>
      </c>
      <c r="N27" t="inlineStr" s="6">
        <is>
          <t>基础交换；不代表实战预测。</t>
        </is>
      </c>
    </row>
    <row r="28">
      <c r="A28" t="inlineStr" s="0">
        <is>
          <t>mage</t>
        </is>
      </c>
      <c r="B28" t="inlineStr" s="0">
        <is>
          <t>monster</t>
        </is>
      </c>
      <c r="C28" s="5">
        <f>VLOOKUP(A28,'01_Hero_Base'!$A$5:$N$12,5,FALSE)</f>
      </c>
      <c r="D28" s="5">
        <f>VLOOKUP(A28,'01_Hero_Base'!$A$5:$N$12,6,FALSE)</f>
      </c>
      <c r="E28" s="5">
        <f>VLOOKUP(B28,'01_Hero_Base'!$A$5:$N$12,6,FALSE)</f>
      </c>
      <c r="F28" s="5">
        <f>VLOOKUP(B28,'01_Hero_Base'!$A$5:$N$12,7,FALSE)</f>
      </c>
      <c r="G28" s="5">
        <f>VLOOKUP(A28,'01_Hero_Base'!$A$5:$N$12,4,FALSE)</f>
      </c>
      <c r="H28" s="5">
        <f>D28</f>
      </c>
      <c r="I28" s="5">
        <f>MAX(0,E28-'00_Assumptions'!$C$10)</f>
      </c>
      <c r="J28" s="5">
        <f>H28-I28</f>
      </c>
      <c r="K28" s="5">
        <f>IF(C28=0,0,H28/C28)</f>
      </c>
      <c r="L28" s="5">
        <f>IF(H28=0,"∞",ROUNDUP(F28/H28,0))</f>
      </c>
      <c r="M28" s="5">
        <f>IF(I28&gt;=3,"高",IF(I28&gt;=2,"中","低"))</f>
      </c>
      <c r="N28" t="inlineStr" s="6">
        <is>
          <t>基础交换；不代表实战预测。</t>
        </is>
      </c>
    </row>
    <row r="29">
      <c r="A29" t="inlineStr" s="0">
        <is>
          <t>oracle</t>
        </is>
      </c>
      <c r="B29" t="inlineStr" s="0">
        <is>
          <t>peasant</t>
        </is>
      </c>
      <c r="C29" s="5">
        <f>VLOOKUP(A29,'01_Hero_Base'!$A$5:$N$12,5,FALSE)</f>
      </c>
      <c r="D29" s="5">
        <f>VLOOKUP(A29,'01_Hero_Base'!$A$5:$N$12,6,FALSE)</f>
      </c>
      <c r="E29" s="5">
        <f>VLOOKUP(B29,'01_Hero_Base'!$A$5:$N$12,6,FALSE)</f>
      </c>
      <c r="F29" s="5">
        <f>VLOOKUP(B29,'01_Hero_Base'!$A$5:$N$12,7,FALSE)</f>
      </c>
      <c r="G29" s="5">
        <f>VLOOKUP(A29,'01_Hero_Base'!$A$5:$N$12,4,FALSE)</f>
      </c>
      <c r="H29" s="5">
        <f>D29</f>
      </c>
      <c r="I29" s="5">
        <f>MAX(0,E29-'00_Assumptions'!$C$10)</f>
      </c>
      <c r="J29" s="5">
        <f>H29-I29</f>
      </c>
      <c r="K29" s="5">
        <f>IF(C29=0,0,H29/C29)</f>
      </c>
      <c r="L29" s="5">
        <f>IF(H29=0,"∞",ROUNDUP(F29/H29,0))</f>
      </c>
      <c r="M29" s="5">
        <f>IF(I29&gt;=3,"高",IF(I29&gt;=2,"中","低"))</f>
      </c>
      <c r="N29" t="inlineStr" s="6">
        <is>
          <t>基础交换；不代表实战预测。</t>
        </is>
      </c>
    </row>
    <row r="30">
      <c r="A30" t="inlineStr" s="0">
        <is>
          <t>oracle</t>
        </is>
      </c>
      <c r="B30" t="inlineStr" s="0">
        <is>
          <t>princess</t>
        </is>
      </c>
      <c r="C30" s="5">
        <f>VLOOKUP(A30,'01_Hero_Base'!$A$5:$N$12,5,FALSE)</f>
      </c>
      <c r="D30" s="5">
        <f>VLOOKUP(A30,'01_Hero_Base'!$A$5:$N$12,6,FALSE)</f>
      </c>
      <c r="E30" s="5">
        <f>VLOOKUP(B30,'01_Hero_Base'!$A$5:$N$12,6,FALSE)</f>
      </c>
      <c r="F30" s="5">
        <f>VLOOKUP(B30,'01_Hero_Base'!$A$5:$N$12,7,FALSE)</f>
      </c>
      <c r="G30" s="5">
        <f>VLOOKUP(A30,'01_Hero_Base'!$A$5:$N$12,4,FALSE)</f>
      </c>
      <c r="H30" s="5">
        <f>D30</f>
      </c>
      <c r="I30" s="5">
        <f>MAX(0,E30-'00_Assumptions'!$C$10)</f>
      </c>
      <c r="J30" s="5">
        <f>H30-I30</f>
      </c>
      <c r="K30" s="5">
        <f>IF(C30=0,0,H30/C30)</f>
      </c>
      <c r="L30" s="5">
        <f>IF(H30=0,"∞",ROUNDUP(F30/H30,0))</f>
      </c>
      <c r="M30" s="5">
        <f>IF(I30&gt;=3,"高",IF(I30&gt;=2,"中","低"))</f>
      </c>
      <c r="N30" t="inlineStr" s="6">
        <is>
          <t>基础交换；不代表实战预测。</t>
        </is>
      </c>
    </row>
    <row r="31">
      <c r="A31" t="inlineStr" s="0">
        <is>
          <t>oracle</t>
        </is>
      </c>
      <c r="B31" t="inlineStr" s="0">
        <is>
          <t>mage</t>
        </is>
      </c>
      <c r="C31" s="5">
        <f>VLOOKUP(A31,'01_Hero_Base'!$A$5:$N$12,5,FALSE)</f>
      </c>
      <c r="D31" s="5">
        <f>VLOOKUP(A31,'01_Hero_Base'!$A$5:$N$12,6,FALSE)</f>
      </c>
      <c r="E31" s="5">
        <f>VLOOKUP(B31,'01_Hero_Base'!$A$5:$N$12,6,FALSE)</f>
      </c>
      <c r="F31" s="5">
        <f>VLOOKUP(B31,'01_Hero_Base'!$A$5:$N$12,7,FALSE)</f>
      </c>
      <c r="G31" s="5">
        <f>VLOOKUP(A31,'01_Hero_Base'!$A$5:$N$12,4,FALSE)</f>
      </c>
      <c r="H31" s="5">
        <f>D31</f>
      </c>
      <c r="I31" s="5">
        <f>MAX(0,E31-'00_Assumptions'!$C$10)</f>
      </c>
      <c r="J31" s="5">
        <f>H31-I31</f>
      </c>
      <c r="K31" s="5">
        <f>IF(C31=0,0,H31/C31)</f>
      </c>
      <c r="L31" s="5">
        <f>IF(H31=0,"∞",ROUNDUP(F31/H31,0))</f>
      </c>
      <c r="M31" s="5">
        <f>IF(I31&gt;=3,"高",IF(I31&gt;=2,"中","低"))</f>
      </c>
      <c r="N31" t="inlineStr" s="6">
        <is>
          <t>基础交换；不代表实战预测。</t>
        </is>
      </c>
    </row>
    <row r="32">
      <c r="A32" t="inlineStr" s="0">
        <is>
          <t>oracle</t>
        </is>
      </c>
      <c r="B32" t="inlineStr" s="0">
        <is>
          <t>oracle</t>
        </is>
      </c>
      <c r="C32" s="5">
        <f>VLOOKUP(A32,'01_Hero_Base'!$A$5:$N$12,5,FALSE)</f>
      </c>
      <c r="D32" s="5">
        <f>VLOOKUP(A32,'01_Hero_Base'!$A$5:$N$12,6,FALSE)</f>
      </c>
      <c r="E32" s="5">
        <f>VLOOKUP(B32,'01_Hero_Base'!$A$5:$N$12,6,FALSE)</f>
      </c>
      <c r="F32" s="5">
        <f>VLOOKUP(B32,'01_Hero_Base'!$A$5:$N$12,7,FALSE)</f>
      </c>
      <c r="G32" s="5">
        <f>VLOOKUP(A32,'01_Hero_Base'!$A$5:$N$12,4,FALSE)</f>
      </c>
      <c r="H32" s="5">
        <f>D32</f>
      </c>
      <c r="I32" s="5">
        <f>MAX(0,E32-'00_Assumptions'!$C$10)</f>
      </c>
      <c r="J32" s="5">
        <f>H32-I32</f>
      </c>
      <c r="K32" s="5">
        <f>IF(C32=0,0,H32/C32)</f>
      </c>
      <c r="L32" s="5">
        <f>IF(H32=0,"∞",ROUNDUP(F32/H32,0))</f>
      </c>
      <c r="M32" s="5">
        <f>IF(I32&gt;=3,"高",IF(I32&gt;=2,"中","低"))</f>
      </c>
      <c r="N32" t="inlineStr" s="6">
        <is>
          <t>基础交换；不代表实战预测。</t>
        </is>
      </c>
    </row>
    <row r="33">
      <c r="A33" t="inlineStr" s="0">
        <is>
          <t>oracle</t>
        </is>
      </c>
      <c r="B33" t="inlineStr" s="0">
        <is>
          <t>knight</t>
        </is>
      </c>
      <c r="C33" s="5">
        <f>VLOOKUP(A33,'01_Hero_Base'!$A$5:$N$12,5,FALSE)</f>
      </c>
      <c r="D33" s="5">
        <f>VLOOKUP(A33,'01_Hero_Base'!$A$5:$N$12,6,FALSE)</f>
      </c>
      <c r="E33" s="5">
        <f>VLOOKUP(B33,'01_Hero_Base'!$A$5:$N$12,6,FALSE)</f>
      </c>
      <c r="F33" s="5">
        <f>VLOOKUP(B33,'01_Hero_Base'!$A$5:$N$12,7,FALSE)</f>
      </c>
      <c r="G33" s="5">
        <f>VLOOKUP(A33,'01_Hero_Base'!$A$5:$N$12,4,FALSE)</f>
      </c>
      <c r="H33" s="5">
        <f>D33</f>
      </c>
      <c r="I33" s="5">
        <f>MAX(0,E33-'00_Assumptions'!$C$10)</f>
      </c>
      <c r="J33" s="5">
        <f>H33-I33</f>
      </c>
      <c r="K33" s="5">
        <f>IF(C33=0,0,H33/C33)</f>
      </c>
      <c r="L33" s="5">
        <f>IF(H33=0,"∞",ROUNDUP(F33/H33,0))</f>
      </c>
      <c r="M33" s="5">
        <f>IF(I33&gt;=3,"高",IF(I33&gt;=2,"中","低"))</f>
      </c>
      <c r="N33" t="inlineStr" s="6">
        <is>
          <t>基础交换；不代表实战预测。</t>
        </is>
      </c>
    </row>
    <row r="34">
      <c r="A34" t="inlineStr" s="0">
        <is>
          <t>oracle</t>
        </is>
      </c>
      <c r="B34" t="inlineStr" s="0">
        <is>
          <t>druid</t>
        </is>
      </c>
      <c r="C34" s="5">
        <f>VLOOKUP(A34,'01_Hero_Base'!$A$5:$N$12,5,FALSE)</f>
      </c>
      <c r="D34" s="5">
        <f>VLOOKUP(A34,'01_Hero_Base'!$A$5:$N$12,6,FALSE)</f>
      </c>
      <c r="E34" s="5">
        <f>VLOOKUP(B34,'01_Hero_Base'!$A$5:$N$12,6,FALSE)</f>
      </c>
      <c r="F34" s="5">
        <f>VLOOKUP(B34,'01_Hero_Base'!$A$5:$N$12,7,FALSE)</f>
      </c>
      <c r="G34" s="5">
        <f>VLOOKUP(A34,'01_Hero_Base'!$A$5:$N$12,4,FALSE)</f>
      </c>
      <c r="H34" s="5">
        <f>D34</f>
      </c>
      <c r="I34" s="5">
        <f>MAX(0,E34-'00_Assumptions'!$C$10)</f>
      </c>
      <c r="J34" s="5">
        <f>H34-I34</f>
      </c>
      <c r="K34" s="5">
        <f>IF(C34=0,0,H34/C34)</f>
      </c>
      <c r="L34" s="5">
        <f>IF(H34=0,"∞",ROUNDUP(F34/H34,0))</f>
      </c>
      <c r="M34" s="5">
        <f>IF(I34&gt;=3,"高",IF(I34&gt;=2,"中","低"))</f>
      </c>
      <c r="N34" t="inlineStr" s="6">
        <is>
          <t>基础交换；不代表实战预测。</t>
        </is>
      </c>
    </row>
    <row r="35">
      <c r="A35" t="inlineStr" s="0">
        <is>
          <t>oracle</t>
        </is>
      </c>
      <c r="B35" t="inlineStr" s="0">
        <is>
          <t>barbarian</t>
        </is>
      </c>
      <c r="C35" s="5">
        <f>VLOOKUP(A35,'01_Hero_Base'!$A$5:$N$12,5,FALSE)</f>
      </c>
      <c r="D35" s="5">
        <f>VLOOKUP(A35,'01_Hero_Base'!$A$5:$N$12,6,FALSE)</f>
      </c>
      <c r="E35" s="5">
        <f>VLOOKUP(B35,'01_Hero_Base'!$A$5:$N$12,6,FALSE)</f>
      </c>
      <c r="F35" s="5">
        <f>VLOOKUP(B35,'01_Hero_Base'!$A$5:$N$12,7,FALSE)</f>
      </c>
      <c r="G35" s="5">
        <f>VLOOKUP(A35,'01_Hero_Base'!$A$5:$N$12,4,FALSE)</f>
      </c>
      <c r="H35" s="5">
        <f>D35</f>
      </c>
      <c r="I35" s="5">
        <f>MAX(0,E35-'00_Assumptions'!$C$10)</f>
      </c>
      <c r="J35" s="5">
        <f>H35-I35</f>
      </c>
      <c r="K35" s="5">
        <f>IF(C35=0,0,H35/C35)</f>
      </c>
      <c r="L35" s="5">
        <f>IF(H35=0,"∞",ROUNDUP(F35/H35,0))</f>
      </c>
      <c r="M35" s="5">
        <f>IF(I35&gt;=3,"高",IF(I35&gt;=2,"中","低"))</f>
      </c>
      <c r="N35" t="inlineStr" s="6">
        <is>
          <t>基础交换；不代表实战预测。</t>
        </is>
      </c>
    </row>
    <row r="36">
      <c r="A36" t="inlineStr" s="0">
        <is>
          <t>oracle</t>
        </is>
      </c>
      <c r="B36" t="inlineStr" s="0">
        <is>
          <t>monster</t>
        </is>
      </c>
      <c r="C36" s="5">
        <f>VLOOKUP(A36,'01_Hero_Base'!$A$5:$N$12,5,FALSE)</f>
      </c>
      <c r="D36" s="5">
        <f>VLOOKUP(A36,'01_Hero_Base'!$A$5:$N$12,6,FALSE)</f>
      </c>
      <c r="E36" s="5">
        <f>VLOOKUP(B36,'01_Hero_Base'!$A$5:$N$12,6,FALSE)</f>
      </c>
      <c r="F36" s="5">
        <f>VLOOKUP(B36,'01_Hero_Base'!$A$5:$N$12,7,FALSE)</f>
      </c>
      <c r="G36" s="5">
        <f>VLOOKUP(A36,'01_Hero_Base'!$A$5:$N$12,4,FALSE)</f>
      </c>
      <c r="H36" s="5">
        <f>D36</f>
      </c>
      <c r="I36" s="5">
        <f>MAX(0,E36-'00_Assumptions'!$C$10)</f>
      </c>
      <c r="J36" s="5">
        <f>H36-I36</f>
      </c>
      <c r="K36" s="5">
        <f>IF(C36=0,0,H36/C36)</f>
      </c>
      <c r="L36" s="5">
        <f>IF(H36=0,"∞",ROUNDUP(F36/H36,0))</f>
      </c>
      <c r="M36" s="5">
        <f>IF(I36&gt;=3,"高",IF(I36&gt;=2,"中","低"))</f>
      </c>
      <c r="N36" t="inlineStr" s="6">
        <is>
          <t>基础交换；不代表实战预测。</t>
        </is>
      </c>
    </row>
    <row r="37">
      <c r="A37" t="inlineStr" s="0">
        <is>
          <t>knight</t>
        </is>
      </c>
      <c r="B37" t="inlineStr" s="0">
        <is>
          <t>peasant</t>
        </is>
      </c>
      <c r="C37" s="5">
        <f>VLOOKUP(A37,'01_Hero_Base'!$A$5:$N$12,5,FALSE)</f>
      </c>
      <c r="D37" s="5">
        <f>VLOOKUP(A37,'01_Hero_Base'!$A$5:$N$12,6,FALSE)</f>
      </c>
      <c r="E37" s="5">
        <f>VLOOKUP(B37,'01_Hero_Base'!$A$5:$N$12,6,FALSE)</f>
      </c>
      <c r="F37" s="5">
        <f>VLOOKUP(B37,'01_Hero_Base'!$A$5:$N$12,7,FALSE)</f>
      </c>
      <c r="G37" s="5">
        <f>VLOOKUP(A37,'01_Hero_Base'!$A$5:$N$12,4,FALSE)</f>
      </c>
      <c r="H37" s="5">
        <f>D37</f>
      </c>
      <c r="I37" s="5">
        <f>MAX(0,E37-'00_Assumptions'!$C$10)</f>
      </c>
      <c r="J37" s="5">
        <f>H37-I37</f>
      </c>
      <c r="K37" s="5">
        <f>IF(C37=0,0,H37/C37)</f>
      </c>
      <c r="L37" s="5">
        <f>IF(H37=0,"∞",ROUNDUP(F37/H37,0))</f>
      </c>
      <c r="M37" s="5">
        <f>IF(I37&gt;=3,"高",IF(I37&gt;=2,"中","低"))</f>
      </c>
      <c r="N37" t="inlineStr" s="6">
        <is>
          <t>基础交换；不代表实战预测。</t>
        </is>
      </c>
    </row>
    <row r="38">
      <c r="A38" t="inlineStr" s="0">
        <is>
          <t>knight</t>
        </is>
      </c>
      <c r="B38" t="inlineStr" s="0">
        <is>
          <t>princess</t>
        </is>
      </c>
      <c r="C38" s="5">
        <f>VLOOKUP(A38,'01_Hero_Base'!$A$5:$N$12,5,FALSE)</f>
      </c>
      <c r="D38" s="5">
        <f>VLOOKUP(A38,'01_Hero_Base'!$A$5:$N$12,6,FALSE)</f>
      </c>
      <c r="E38" s="5">
        <f>VLOOKUP(B38,'01_Hero_Base'!$A$5:$N$12,6,FALSE)</f>
      </c>
      <c r="F38" s="5">
        <f>VLOOKUP(B38,'01_Hero_Base'!$A$5:$N$12,7,FALSE)</f>
      </c>
      <c r="G38" s="5">
        <f>VLOOKUP(A38,'01_Hero_Base'!$A$5:$N$12,4,FALSE)</f>
      </c>
      <c r="H38" s="5">
        <f>D38</f>
      </c>
      <c r="I38" s="5">
        <f>MAX(0,E38-'00_Assumptions'!$C$10)</f>
      </c>
      <c r="J38" s="5">
        <f>H38-I38</f>
      </c>
      <c r="K38" s="5">
        <f>IF(C38=0,0,H38/C38)</f>
      </c>
      <c r="L38" s="5">
        <f>IF(H38=0,"∞",ROUNDUP(F38/H38,0))</f>
      </c>
      <c r="M38" s="5">
        <f>IF(I38&gt;=3,"高",IF(I38&gt;=2,"中","低"))</f>
      </c>
      <c r="N38" t="inlineStr" s="6">
        <is>
          <t>基础交换；不代表实战预测。</t>
        </is>
      </c>
    </row>
    <row r="39">
      <c r="A39" t="inlineStr" s="0">
        <is>
          <t>knight</t>
        </is>
      </c>
      <c r="B39" t="inlineStr" s="0">
        <is>
          <t>mage</t>
        </is>
      </c>
      <c r="C39" s="5">
        <f>VLOOKUP(A39,'01_Hero_Base'!$A$5:$N$12,5,FALSE)</f>
      </c>
      <c r="D39" s="5">
        <f>VLOOKUP(A39,'01_Hero_Base'!$A$5:$N$12,6,FALSE)</f>
      </c>
      <c r="E39" s="5">
        <f>VLOOKUP(B39,'01_Hero_Base'!$A$5:$N$12,6,FALSE)</f>
      </c>
      <c r="F39" s="5">
        <f>VLOOKUP(B39,'01_Hero_Base'!$A$5:$N$12,7,FALSE)</f>
      </c>
      <c r="G39" s="5">
        <f>VLOOKUP(A39,'01_Hero_Base'!$A$5:$N$12,4,FALSE)</f>
      </c>
      <c r="H39" s="5">
        <f>D39</f>
      </c>
      <c r="I39" s="5">
        <f>MAX(0,E39-'00_Assumptions'!$C$10)</f>
      </c>
      <c r="J39" s="5">
        <f>H39-I39</f>
      </c>
      <c r="K39" s="5">
        <f>IF(C39=0,0,H39/C39)</f>
      </c>
      <c r="L39" s="5">
        <f>IF(H39=0,"∞",ROUNDUP(F39/H39,0))</f>
      </c>
      <c r="M39" s="5">
        <f>IF(I39&gt;=3,"高",IF(I39&gt;=2,"中","低"))</f>
      </c>
      <c r="N39" t="inlineStr" s="6">
        <is>
          <t>基础交换；不代表实战预测。</t>
        </is>
      </c>
    </row>
    <row r="40">
      <c r="A40" t="inlineStr" s="0">
        <is>
          <t>knight</t>
        </is>
      </c>
      <c r="B40" t="inlineStr" s="0">
        <is>
          <t>oracle</t>
        </is>
      </c>
      <c r="C40" s="5">
        <f>VLOOKUP(A40,'01_Hero_Base'!$A$5:$N$12,5,FALSE)</f>
      </c>
      <c r="D40" s="5">
        <f>VLOOKUP(A40,'01_Hero_Base'!$A$5:$N$12,6,FALSE)</f>
      </c>
      <c r="E40" s="5">
        <f>VLOOKUP(B40,'01_Hero_Base'!$A$5:$N$12,6,FALSE)</f>
      </c>
      <c r="F40" s="5">
        <f>VLOOKUP(B40,'01_Hero_Base'!$A$5:$N$12,7,FALSE)</f>
      </c>
      <c r="G40" s="5">
        <f>VLOOKUP(A40,'01_Hero_Base'!$A$5:$N$12,4,FALSE)</f>
      </c>
      <c r="H40" s="5">
        <f>D40</f>
      </c>
      <c r="I40" s="5">
        <f>MAX(0,E40-'00_Assumptions'!$C$10)</f>
      </c>
      <c r="J40" s="5">
        <f>H40-I40</f>
      </c>
      <c r="K40" s="5">
        <f>IF(C40=0,0,H40/C40)</f>
      </c>
      <c r="L40" s="5">
        <f>IF(H40=0,"∞",ROUNDUP(F40/H40,0))</f>
      </c>
      <c r="M40" s="5">
        <f>IF(I40&gt;=3,"高",IF(I40&gt;=2,"中","低"))</f>
      </c>
      <c r="N40" t="inlineStr" s="6">
        <is>
          <t>基础交换；不代表实战预测。</t>
        </is>
      </c>
    </row>
    <row r="41">
      <c r="A41" t="inlineStr" s="0">
        <is>
          <t>knight</t>
        </is>
      </c>
      <c r="B41" t="inlineStr" s="0">
        <is>
          <t>knight</t>
        </is>
      </c>
      <c r="C41" s="5">
        <f>VLOOKUP(A41,'01_Hero_Base'!$A$5:$N$12,5,FALSE)</f>
      </c>
      <c r="D41" s="5">
        <f>VLOOKUP(A41,'01_Hero_Base'!$A$5:$N$12,6,FALSE)</f>
      </c>
      <c r="E41" s="5">
        <f>VLOOKUP(B41,'01_Hero_Base'!$A$5:$N$12,6,FALSE)</f>
      </c>
      <c r="F41" s="5">
        <f>VLOOKUP(B41,'01_Hero_Base'!$A$5:$N$12,7,FALSE)</f>
      </c>
      <c r="G41" s="5">
        <f>VLOOKUP(A41,'01_Hero_Base'!$A$5:$N$12,4,FALSE)</f>
      </c>
      <c r="H41" s="5">
        <f>D41</f>
      </c>
      <c r="I41" s="5">
        <f>MAX(0,E41-'00_Assumptions'!$C$10)</f>
      </c>
      <c r="J41" s="5">
        <f>H41-I41</f>
      </c>
      <c r="K41" s="5">
        <f>IF(C41=0,0,H41/C41)</f>
      </c>
      <c r="L41" s="5">
        <f>IF(H41=0,"∞",ROUNDUP(F41/H41,0))</f>
      </c>
      <c r="M41" s="5">
        <f>IF(I41&gt;=3,"高",IF(I41&gt;=2,"中","低"))</f>
      </c>
      <c r="N41" t="inlineStr" s="6">
        <is>
          <t>基础交换；不代表实战预测。</t>
        </is>
      </c>
    </row>
    <row r="42">
      <c r="A42" t="inlineStr" s="0">
        <is>
          <t>knight</t>
        </is>
      </c>
      <c r="B42" t="inlineStr" s="0">
        <is>
          <t>druid</t>
        </is>
      </c>
      <c r="C42" s="5">
        <f>VLOOKUP(A42,'01_Hero_Base'!$A$5:$N$12,5,FALSE)</f>
      </c>
      <c r="D42" s="5">
        <f>VLOOKUP(A42,'01_Hero_Base'!$A$5:$N$12,6,FALSE)</f>
      </c>
      <c r="E42" s="5">
        <f>VLOOKUP(B42,'01_Hero_Base'!$A$5:$N$12,6,FALSE)</f>
      </c>
      <c r="F42" s="5">
        <f>VLOOKUP(B42,'01_Hero_Base'!$A$5:$N$12,7,FALSE)</f>
      </c>
      <c r="G42" s="5">
        <f>VLOOKUP(A42,'01_Hero_Base'!$A$5:$N$12,4,FALSE)</f>
      </c>
      <c r="H42" s="5">
        <f>D42</f>
      </c>
      <c r="I42" s="5">
        <f>MAX(0,E42-'00_Assumptions'!$C$10)</f>
      </c>
      <c r="J42" s="5">
        <f>H42-I42</f>
      </c>
      <c r="K42" s="5">
        <f>IF(C42=0,0,H42/C42)</f>
      </c>
      <c r="L42" s="5">
        <f>IF(H42=0,"∞",ROUNDUP(F42/H42,0))</f>
      </c>
      <c r="M42" s="5">
        <f>IF(I42&gt;=3,"高",IF(I42&gt;=2,"中","低"))</f>
      </c>
      <c r="N42" t="inlineStr" s="6">
        <is>
          <t>基础交换；不代表实战预测。</t>
        </is>
      </c>
    </row>
    <row r="43">
      <c r="A43" t="inlineStr" s="0">
        <is>
          <t>knight</t>
        </is>
      </c>
      <c r="B43" t="inlineStr" s="0">
        <is>
          <t>barbarian</t>
        </is>
      </c>
      <c r="C43" s="5">
        <f>VLOOKUP(A43,'01_Hero_Base'!$A$5:$N$12,5,FALSE)</f>
      </c>
      <c r="D43" s="5">
        <f>VLOOKUP(A43,'01_Hero_Base'!$A$5:$N$12,6,FALSE)</f>
      </c>
      <c r="E43" s="5">
        <f>VLOOKUP(B43,'01_Hero_Base'!$A$5:$N$12,6,FALSE)</f>
      </c>
      <c r="F43" s="5">
        <f>VLOOKUP(B43,'01_Hero_Base'!$A$5:$N$12,7,FALSE)</f>
      </c>
      <c r="G43" s="5">
        <f>VLOOKUP(A43,'01_Hero_Base'!$A$5:$N$12,4,FALSE)</f>
      </c>
      <c r="H43" s="5">
        <f>D43</f>
      </c>
      <c r="I43" s="5">
        <f>MAX(0,E43-'00_Assumptions'!$C$10)</f>
      </c>
      <c r="J43" s="5">
        <f>H43-I43</f>
      </c>
      <c r="K43" s="5">
        <f>IF(C43=0,0,H43/C43)</f>
      </c>
      <c r="L43" s="5">
        <f>IF(H43=0,"∞",ROUNDUP(F43/H43,0))</f>
      </c>
      <c r="M43" s="5">
        <f>IF(I43&gt;=3,"高",IF(I43&gt;=2,"中","低"))</f>
      </c>
      <c r="N43" t="inlineStr" s="6">
        <is>
          <t>基础交换；不代表实战预测。</t>
        </is>
      </c>
    </row>
    <row r="44">
      <c r="A44" t="inlineStr" s="0">
        <is>
          <t>knight</t>
        </is>
      </c>
      <c r="B44" t="inlineStr" s="0">
        <is>
          <t>monster</t>
        </is>
      </c>
      <c r="C44" s="5">
        <f>VLOOKUP(A44,'01_Hero_Base'!$A$5:$N$12,5,FALSE)</f>
      </c>
      <c r="D44" s="5">
        <f>VLOOKUP(A44,'01_Hero_Base'!$A$5:$N$12,6,FALSE)</f>
      </c>
      <c r="E44" s="5">
        <f>VLOOKUP(B44,'01_Hero_Base'!$A$5:$N$12,6,FALSE)</f>
      </c>
      <c r="F44" s="5">
        <f>VLOOKUP(B44,'01_Hero_Base'!$A$5:$N$12,7,FALSE)</f>
      </c>
      <c r="G44" s="5">
        <f>VLOOKUP(A44,'01_Hero_Base'!$A$5:$N$12,4,FALSE)</f>
      </c>
      <c r="H44" s="5">
        <f>D44</f>
      </c>
      <c r="I44" s="5">
        <f>MAX(0,E44-'00_Assumptions'!$C$10)</f>
      </c>
      <c r="J44" s="5">
        <f>H44-I44</f>
      </c>
      <c r="K44" s="5">
        <f>IF(C44=0,0,H44/C44)</f>
      </c>
      <c r="L44" s="5">
        <f>IF(H44=0,"∞",ROUNDUP(F44/H44,0))</f>
      </c>
      <c r="M44" s="5">
        <f>IF(I44&gt;=3,"高",IF(I44&gt;=2,"中","低"))</f>
      </c>
      <c r="N44" t="inlineStr" s="6">
        <is>
          <t>基础交换；不代表实战预测。</t>
        </is>
      </c>
    </row>
    <row r="45">
      <c r="A45" t="inlineStr" s="0">
        <is>
          <t>druid</t>
        </is>
      </c>
      <c r="B45" t="inlineStr" s="0">
        <is>
          <t>peasant</t>
        </is>
      </c>
      <c r="C45" s="5">
        <f>VLOOKUP(A45,'01_Hero_Base'!$A$5:$N$12,5,FALSE)</f>
      </c>
      <c r="D45" s="5">
        <f>VLOOKUP(A45,'01_Hero_Base'!$A$5:$N$12,6,FALSE)</f>
      </c>
      <c r="E45" s="5">
        <f>VLOOKUP(B45,'01_Hero_Base'!$A$5:$N$12,6,FALSE)</f>
      </c>
      <c r="F45" s="5">
        <f>VLOOKUP(B45,'01_Hero_Base'!$A$5:$N$12,7,FALSE)</f>
      </c>
      <c r="G45" s="5">
        <f>VLOOKUP(A45,'01_Hero_Base'!$A$5:$N$12,4,FALSE)</f>
      </c>
      <c r="H45" s="5">
        <f>D45</f>
      </c>
      <c r="I45" s="5">
        <f>MAX(0,E45-'00_Assumptions'!$C$10)</f>
      </c>
      <c r="J45" s="5">
        <f>H45-I45</f>
      </c>
      <c r="K45" s="5">
        <f>IF(C45=0,0,H45/C45)</f>
      </c>
      <c r="L45" s="5">
        <f>IF(H45=0,"∞",ROUNDUP(F45/H45,0))</f>
      </c>
      <c r="M45" s="5">
        <f>IF(I45&gt;=3,"高",IF(I45&gt;=2,"中","低"))</f>
      </c>
      <c r="N45" t="inlineStr" s="6">
        <is>
          <t>基础交换；不代表实战预测。</t>
        </is>
      </c>
    </row>
    <row r="46">
      <c r="A46" t="inlineStr" s="0">
        <is>
          <t>druid</t>
        </is>
      </c>
      <c r="B46" t="inlineStr" s="0">
        <is>
          <t>princess</t>
        </is>
      </c>
      <c r="C46" s="5">
        <f>VLOOKUP(A46,'01_Hero_Base'!$A$5:$N$12,5,FALSE)</f>
      </c>
      <c r="D46" s="5">
        <f>VLOOKUP(A46,'01_Hero_Base'!$A$5:$N$12,6,FALSE)</f>
      </c>
      <c r="E46" s="5">
        <f>VLOOKUP(B46,'01_Hero_Base'!$A$5:$N$12,6,FALSE)</f>
      </c>
      <c r="F46" s="5">
        <f>VLOOKUP(B46,'01_Hero_Base'!$A$5:$N$12,7,FALSE)</f>
      </c>
      <c r="G46" s="5">
        <f>VLOOKUP(A46,'01_Hero_Base'!$A$5:$N$12,4,FALSE)</f>
      </c>
      <c r="H46" s="5">
        <f>D46</f>
      </c>
      <c r="I46" s="5">
        <f>MAX(0,E46-'00_Assumptions'!$C$10)</f>
      </c>
      <c r="J46" s="5">
        <f>H46-I46</f>
      </c>
      <c r="K46" s="5">
        <f>IF(C46=0,0,H46/C46)</f>
      </c>
      <c r="L46" s="5">
        <f>IF(H46=0,"∞",ROUNDUP(F46/H46,0))</f>
      </c>
      <c r="M46" s="5">
        <f>IF(I46&gt;=3,"高",IF(I46&gt;=2,"中","低"))</f>
      </c>
      <c r="N46" t="inlineStr" s="6">
        <is>
          <t>基础交换；不代表实战预测。</t>
        </is>
      </c>
    </row>
    <row r="47">
      <c r="A47" t="inlineStr" s="0">
        <is>
          <t>druid</t>
        </is>
      </c>
      <c r="B47" t="inlineStr" s="0">
        <is>
          <t>mage</t>
        </is>
      </c>
      <c r="C47" s="5">
        <f>VLOOKUP(A47,'01_Hero_Base'!$A$5:$N$12,5,FALSE)</f>
      </c>
      <c r="D47" s="5">
        <f>VLOOKUP(A47,'01_Hero_Base'!$A$5:$N$12,6,FALSE)</f>
      </c>
      <c r="E47" s="5">
        <f>VLOOKUP(B47,'01_Hero_Base'!$A$5:$N$12,6,FALSE)</f>
      </c>
      <c r="F47" s="5">
        <f>VLOOKUP(B47,'01_Hero_Base'!$A$5:$N$12,7,FALSE)</f>
      </c>
      <c r="G47" s="5">
        <f>VLOOKUP(A47,'01_Hero_Base'!$A$5:$N$12,4,FALSE)</f>
      </c>
      <c r="H47" s="5">
        <f>D47</f>
      </c>
      <c r="I47" s="5">
        <f>MAX(0,E47-'00_Assumptions'!$C$10)</f>
      </c>
      <c r="J47" s="5">
        <f>H47-I47</f>
      </c>
      <c r="K47" s="5">
        <f>IF(C47=0,0,H47/C47)</f>
      </c>
      <c r="L47" s="5">
        <f>IF(H47=0,"∞",ROUNDUP(F47/H47,0))</f>
      </c>
      <c r="M47" s="5">
        <f>IF(I47&gt;=3,"高",IF(I47&gt;=2,"中","低"))</f>
      </c>
      <c r="N47" t="inlineStr" s="6">
        <is>
          <t>基础交换；不代表实战预测。</t>
        </is>
      </c>
    </row>
    <row r="48">
      <c r="A48" t="inlineStr" s="0">
        <is>
          <t>druid</t>
        </is>
      </c>
      <c r="B48" t="inlineStr" s="0">
        <is>
          <t>oracle</t>
        </is>
      </c>
      <c r="C48" s="5">
        <f>VLOOKUP(A48,'01_Hero_Base'!$A$5:$N$12,5,FALSE)</f>
      </c>
      <c r="D48" s="5">
        <f>VLOOKUP(A48,'01_Hero_Base'!$A$5:$N$12,6,FALSE)</f>
      </c>
      <c r="E48" s="5">
        <f>VLOOKUP(B48,'01_Hero_Base'!$A$5:$N$12,6,FALSE)</f>
      </c>
      <c r="F48" s="5">
        <f>VLOOKUP(B48,'01_Hero_Base'!$A$5:$N$12,7,FALSE)</f>
      </c>
      <c r="G48" s="5">
        <f>VLOOKUP(A48,'01_Hero_Base'!$A$5:$N$12,4,FALSE)</f>
      </c>
      <c r="H48" s="5">
        <f>D48</f>
      </c>
      <c r="I48" s="5">
        <f>MAX(0,E48-'00_Assumptions'!$C$10)</f>
      </c>
      <c r="J48" s="5">
        <f>H48-I48</f>
      </c>
      <c r="K48" s="5">
        <f>IF(C48=0,0,H48/C48)</f>
      </c>
      <c r="L48" s="5">
        <f>IF(H48=0,"∞",ROUNDUP(F48/H48,0))</f>
      </c>
      <c r="M48" s="5">
        <f>IF(I48&gt;=3,"高",IF(I48&gt;=2,"中","低"))</f>
      </c>
      <c r="N48" t="inlineStr" s="6">
        <is>
          <t>基础交换；不代表实战预测。</t>
        </is>
      </c>
    </row>
    <row r="49">
      <c r="A49" t="inlineStr" s="0">
        <is>
          <t>druid</t>
        </is>
      </c>
      <c r="B49" t="inlineStr" s="0">
        <is>
          <t>knight</t>
        </is>
      </c>
      <c r="C49" s="5">
        <f>VLOOKUP(A49,'01_Hero_Base'!$A$5:$N$12,5,FALSE)</f>
      </c>
      <c r="D49" s="5">
        <f>VLOOKUP(A49,'01_Hero_Base'!$A$5:$N$12,6,FALSE)</f>
      </c>
      <c r="E49" s="5">
        <f>VLOOKUP(B49,'01_Hero_Base'!$A$5:$N$12,6,FALSE)</f>
      </c>
      <c r="F49" s="5">
        <f>VLOOKUP(B49,'01_Hero_Base'!$A$5:$N$12,7,FALSE)</f>
      </c>
      <c r="G49" s="5">
        <f>VLOOKUP(A49,'01_Hero_Base'!$A$5:$N$12,4,FALSE)</f>
      </c>
      <c r="H49" s="5">
        <f>D49</f>
      </c>
      <c r="I49" s="5">
        <f>MAX(0,E49-'00_Assumptions'!$C$10)</f>
      </c>
      <c r="J49" s="5">
        <f>H49-I49</f>
      </c>
      <c r="K49" s="5">
        <f>IF(C49=0,0,H49/C49)</f>
      </c>
      <c r="L49" s="5">
        <f>IF(H49=0,"∞",ROUNDUP(F49/H49,0))</f>
      </c>
      <c r="M49" s="5">
        <f>IF(I49&gt;=3,"高",IF(I49&gt;=2,"中","低"))</f>
      </c>
      <c r="N49" t="inlineStr" s="6">
        <is>
          <t>基础交换；不代表实战预测。</t>
        </is>
      </c>
    </row>
    <row r="50">
      <c r="A50" t="inlineStr" s="0">
        <is>
          <t>druid</t>
        </is>
      </c>
      <c r="B50" t="inlineStr" s="0">
        <is>
          <t>druid</t>
        </is>
      </c>
      <c r="C50" s="5">
        <f>VLOOKUP(A50,'01_Hero_Base'!$A$5:$N$12,5,FALSE)</f>
      </c>
      <c r="D50" s="5">
        <f>VLOOKUP(A50,'01_Hero_Base'!$A$5:$N$12,6,FALSE)</f>
      </c>
      <c r="E50" s="5">
        <f>VLOOKUP(B50,'01_Hero_Base'!$A$5:$N$12,6,FALSE)</f>
      </c>
      <c r="F50" s="5">
        <f>VLOOKUP(B50,'01_Hero_Base'!$A$5:$N$12,7,FALSE)</f>
      </c>
      <c r="G50" s="5">
        <f>VLOOKUP(A50,'01_Hero_Base'!$A$5:$N$12,4,FALSE)</f>
      </c>
      <c r="H50" s="5">
        <f>D50</f>
      </c>
      <c r="I50" s="5">
        <f>MAX(0,E50-'00_Assumptions'!$C$10)</f>
      </c>
      <c r="J50" s="5">
        <f>H50-I50</f>
      </c>
      <c r="K50" s="5">
        <f>IF(C50=0,0,H50/C50)</f>
      </c>
      <c r="L50" s="5">
        <f>IF(H50=0,"∞",ROUNDUP(F50/H50,0))</f>
      </c>
      <c r="M50" s="5">
        <f>IF(I50&gt;=3,"高",IF(I50&gt;=2,"中","低"))</f>
      </c>
      <c r="N50" t="inlineStr" s="6">
        <is>
          <t>基础交换；不代表实战预测。</t>
        </is>
      </c>
    </row>
    <row r="51">
      <c r="A51" t="inlineStr" s="0">
        <is>
          <t>druid</t>
        </is>
      </c>
      <c r="B51" t="inlineStr" s="0">
        <is>
          <t>barbarian</t>
        </is>
      </c>
      <c r="C51" s="5">
        <f>VLOOKUP(A51,'01_Hero_Base'!$A$5:$N$12,5,FALSE)</f>
      </c>
      <c r="D51" s="5">
        <f>VLOOKUP(A51,'01_Hero_Base'!$A$5:$N$12,6,FALSE)</f>
      </c>
      <c r="E51" s="5">
        <f>VLOOKUP(B51,'01_Hero_Base'!$A$5:$N$12,6,FALSE)</f>
      </c>
      <c r="F51" s="5">
        <f>VLOOKUP(B51,'01_Hero_Base'!$A$5:$N$12,7,FALSE)</f>
      </c>
      <c r="G51" s="5">
        <f>VLOOKUP(A51,'01_Hero_Base'!$A$5:$N$12,4,FALSE)</f>
      </c>
      <c r="H51" s="5">
        <f>D51</f>
      </c>
      <c r="I51" s="5">
        <f>MAX(0,E51-'00_Assumptions'!$C$10)</f>
      </c>
      <c r="J51" s="5">
        <f>H51-I51</f>
      </c>
      <c r="K51" s="5">
        <f>IF(C51=0,0,H51/C51)</f>
      </c>
      <c r="L51" s="5">
        <f>IF(H51=0,"∞",ROUNDUP(F51/H51,0))</f>
      </c>
      <c r="M51" s="5">
        <f>IF(I51&gt;=3,"高",IF(I51&gt;=2,"中","低"))</f>
      </c>
      <c r="N51" t="inlineStr" s="6">
        <is>
          <t>基础交换；不代表实战预测。</t>
        </is>
      </c>
    </row>
    <row r="52">
      <c r="A52" t="inlineStr" s="0">
        <is>
          <t>druid</t>
        </is>
      </c>
      <c r="B52" t="inlineStr" s="0">
        <is>
          <t>monster</t>
        </is>
      </c>
      <c r="C52" s="5">
        <f>VLOOKUP(A52,'01_Hero_Base'!$A$5:$N$12,5,FALSE)</f>
      </c>
      <c r="D52" s="5">
        <f>VLOOKUP(A52,'01_Hero_Base'!$A$5:$N$12,6,FALSE)</f>
      </c>
      <c r="E52" s="5">
        <f>VLOOKUP(B52,'01_Hero_Base'!$A$5:$N$12,6,FALSE)</f>
      </c>
      <c r="F52" s="5">
        <f>VLOOKUP(B52,'01_Hero_Base'!$A$5:$N$12,7,FALSE)</f>
      </c>
      <c r="G52" s="5">
        <f>VLOOKUP(A52,'01_Hero_Base'!$A$5:$N$12,4,FALSE)</f>
      </c>
      <c r="H52" s="5">
        <f>D52</f>
      </c>
      <c r="I52" s="5">
        <f>MAX(0,E52-'00_Assumptions'!$C$10)</f>
      </c>
      <c r="J52" s="5">
        <f>H52-I52</f>
      </c>
      <c r="K52" s="5">
        <f>IF(C52=0,0,H52/C52)</f>
      </c>
      <c r="L52" s="5">
        <f>IF(H52=0,"∞",ROUNDUP(F52/H52,0))</f>
      </c>
      <c r="M52" s="5">
        <f>IF(I52&gt;=3,"高",IF(I52&gt;=2,"中","低"))</f>
      </c>
      <c r="N52" t="inlineStr" s="6">
        <is>
          <t>基础交换；不代表实战预测。</t>
        </is>
      </c>
    </row>
    <row r="53">
      <c r="A53" t="inlineStr" s="0">
        <is>
          <t>barbarian</t>
        </is>
      </c>
      <c r="B53" t="inlineStr" s="0">
        <is>
          <t>peasant</t>
        </is>
      </c>
      <c r="C53" s="5">
        <f>VLOOKUP(A53,'01_Hero_Base'!$A$5:$N$12,5,FALSE)</f>
      </c>
      <c r="D53" s="5">
        <f>VLOOKUP(A53,'01_Hero_Base'!$A$5:$N$12,6,FALSE)</f>
      </c>
      <c r="E53" s="5">
        <f>VLOOKUP(B53,'01_Hero_Base'!$A$5:$N$12,6,FALSE)</f>
      </c>
      <c r="F53" s="5">
        <f>VLOOKUP(B53,'01_Hero_Base'!$A$5:$N$12,7,FALSE)</f>
      </c>
      <c r="G53" s="5">
        <f>VLOOKUP(A53,'01_Hero_Base'!$A$5:$N$12,4,FALSE)</f>
      </c>
      <c r="H53" s="5">
        <f>D53</f>
      </c>
      <c r="I53" s="5">
        <f>MAX(0,E53-'00_Assumptions'!$C$10)</f>
      </c>
      <c r="J53" s="5">
        <f>H53-I53</f>
      </c>
      <c r="K53" s="5">
        <f>IF(C53=0,0,H53/C53)</f>
      </c>
      <c r="L53" s="5">
        <f>IF(H53=0,"∞",ROUNDUP(F53/H53,0))</f>
      </c>
      <c r="M53" s="5">
        <f>IF(I53&gt;=3,"高",IF(I53&gt;=2,"中","低"))</f>
      </c>
      <c r="N53" t="inlineStr" s="6">
        <is>
          <t>基础交换；不代表实战预测。</t>
        </is>
      </c>
    </row>
    <row r="54">
      <c r="A54" t="inlineStr" s="0">
        <is>
          <t>barbarian</t>
        </is>
      </c>
      <c r="B54" t="inlineStr" s="0">
        <is>
          <t>princess</t>
        </is>
      </c>
      <c r="C54" s="5">
        <f>VLOOKUP(A54,'01_Hero_Base'!$A$5:$N$12,5,FALSE)</f>
      </c>
      <c r="D54" s="5">
        <f>VLOOKUP(A54,'01_Hero_Base'!$A$5:$N$12,6,FALSE)</f>
      </c>
      <c r="E54" s="5">
        <f>VLOOKUP(B54,'01_Hero_Base'!$A$5:$N$12,6,FALSE)</f>
      </c>
      <c r="F54" s="5">
        <f>VLOOKUP(B54,'01_Hero_Base'!$A$5:$N$12,7,FALSE)</f>
      </c>
      <c r="G54" s="5">
        <f>VLOOKUP(A54,'01_Hero_Base'!$A$5:$N$12,4,FALSE)</f>
      </c>
      <c r="H54" s="5">
        <f>D54</f>
      </c>
      <c r="I54" s="5">
        <f>MAX(0,E54-'00_Assumptions'!$C$10)</f>
      </c>
      <c r="J54" s="5">
        <f>H54-I54</f>
      </c>
      <c r="K54" s="5">
        <f>IF(C54=0,0,H54/C54)</f>
      </c>
      <c r="L54" s="5">
        <f>IF(H54=0,"∞",ROUNDUP(F54/H54,0))</f>
      </c>
      <c r="M54" s="5">
        <f>IF(I54&gt;=3,"高",IF(I54&gt;=2,"中","低"))</f>
      </c>
      <c r="N54" t="inlineStr" s="6">
        <is>
          <t>基础交换；不代表实战预测。</t>
        </is>
      </c>
    </row>
    <row r="55">
      <c r="A55" t="inlineStr" s="0">
        <is>
          <t>barbarian</t>
        </is>
      </c>
      <c r="B55" t="inlineStr" s="0">
        <is>
          <t>mage</t>
        </is>
      </c>
      <c r="C55" s="5">
        <f>VLOOKUP(A55,'01_Hero_Base'!$A$5:$N$12,5,FALSE)</f>
      </c>
      <c r="D55" s="5">
        <f>VLOOKUP(A55,'01_Hero_Base'!$A$5:$N$12,6,FALSE)</f>
      </c>
      <c r="E55" s="5">
        <f>VLOOKUP(B55,'01_Hero_Base'!$A$5:$N$12,6,FALSE)</f>
      </c>
      <c r="F55" s="5">
        <f>VLOOKUP(B55,'01_Hero_Base'!$A$5:$N$12,7,FALSE)</f>
      </c>
      <c r="G55" s="5">
        <f>VLOOKUP(A55,'01_Hero_Base'!$A$5:$N$12,4,FALSE)</f>
      </c>
      <c r="H55" s="5">
        <f>D55</f>
      </c>
      <c r="I55" s="5">
        <f>MAX(0,E55-'00_Assumptions'!$C$10)</f>
      </c>
      <c r="J55" s="5">
        <f>H55-I55</f>
      </c>
      <c r="K55" s="5">
        <f>IF(C55=0,0,H55/C55)</f>
      </c>
      <c r="L55" s="5">
        <f>IF(H55=0,"∞",ROUNDUP(F55/H55,0))</f>
      </c>
      <c r="M55" s="5">
        <f>IF(I55&gt;=3,"高",IF(I55&gt;=2,"中","低"))</f>
      </c>
      <c r="N55" t="inlineStr" s="6">
        <is>
          <t>基础交换；不代表实战预测。</t>
        </is>
      </c>
    </row>
    <row r="56">
      <c r="A56" t="inlineStr" s="0">
        <is>
          <t>barbarian</t>
        </is>
      </c>
      <c r="B56" t="inlineStr" s="0">
        <is>
          <t>oracle</t>
        </is>
      </c>
      <c r="C56" s="5">
        <f>VLOOKUP(A56,'01_Hero_Base'!$A$5:$N$12,5,FALSE)</f>
      </c>
      <c r="D56" s="5">
        <f>VLOOKUP(A56,'01_Hero_Base'!$A$5:$N$12,6,FALSE)</f>
      </c>
      <c r="E56" s="5">
        <f>VLOOKUP(B56,'01_Hero_Base'!$A$5:$N$12,6,FALSE)</f>
      </c>
      <c r="F56" s="5">
        <f>VLOOKUP(B56,'01_Hero_Base'!$A$5:$N$12,7,FALSE)</f>
      </c>
      <c r="G56" s="5">
        <f>VLOOKUP(A56,'01_Hero_Base'!$A$5:$N$12,4,FALSE)</f>
      </c>
      <c r="H56" s="5">
        <f>D56</f>
      </c>
      <c r="I56" s="5">
        <f>MAX(0,E56-'00_Assumptions'!$C$10)</f>
      </c>
      <c r="J56" s="5">
        <f>H56-I56</f>
      </c>
      <c r="K56" s="5">
        <f>IF(C56=0,0,H56/C56)</f>
      </c>
      <c r="L56" s="5">
        <f>IF(H56=0,"∞",ROUNDUP(F56/H56,0))</f>
      </c>
      <c r="M56" s="5">
        <f>IF(I56&gt;=3,"高",IF(I56&gt;=2,"中","低"))</f>
      </c>
      <c r="N56" t="inlineStr" s="6">
        <is>
          <t>基础交换；不代表实战预测。</t>
        </is>
      </c>
    </row>
    <row r="57">
      <c r="A57" t="inlineStr" s="0">
        <is>
          <t>barbarian</t>
        </is>
      </c>
      <c r="B57" t="inlineStr" s="0">
        <is>
          <t>knight</t>
        </is>
      </c>
      <c r="C57" s="5">
        <f>VLOOKUP(A57,'01_Hero_Base'!$A$5:$N$12,5,FALSE)</f>
      </c>
      <c r="D57" s="5">
        <f>VLOOKUP(A57,'01_Hero_Base'!$A$5:$N$12,6,FALSE)</f>
      </c>
      <c r="E57" s="5">
        <f>VLOOKUP(B57,'01_Hero_Base'!$A$5:$N$12,6,FALSE)</f>
      </c>
      <c r="F57" s="5">
        <f>VLOOKUP(B57,'01_Hero_Base'!$A$5:$N$12,7,FALSE)</f>
      </c>
      <c r="G57" s="5">
        <f>VLOOKUP(A57,'01_Hero_Base'!$A$5:$N$12,4,FALSE)</f>
      </c>
      <c r="H57" s="5">
        <f>D57</f>
      </c>
      <c r="I57" s="5">
        <f>MAX(0,E57-'00_Assumptions'!$C$10)</f>
      </c>
      <c r="J57" s="5">
        <f>H57-I57</f>
      </c>
      <c r="K57" s="5">
        <f>IF(C57=0,0,H57/C57)</f>
      </c>
      <c r="L57" s="5">
        <f>IF(H57=0,"∞",ROUNDUP(F57/H57,0))</f>
      </c>
      <c r="M57" s="5">
        <f>IF(I57&gt;=3,"高",IF(I57&gt;=2,"中","低"))</f>
      </c>
      <c r="N57" t="inlineStr" s="6">
        <is>
          <t>基础交换；不代表实战预测。</t>
        </is>
      </c>
    </row>
    <row r="58">
      <c r="A58" t="inlineStr" s="0">
        <is>
          <t>barbarian</t>
        </is>
      </c>
      <c r="B58" t="inlineStr" s="0">
        <is>
          <t>druid</t>
        </is>
      </c>
      <c r="C58" s="5">
        <f>VLOOKUP(A58,'01_Hero_Base'!$A$5:$N$12,5,FALSE)</f>
      </c>
      <c r="D58" s="5">
        <f>VLOOKUP(A58,'01_Hero_Base'!$A$5:$N$12,6,FALSE)</f>
      </c>
      <c r="E58" s="5">
        <f>VLOOKUP(B58,'01_Hero_Base'!$A$5:$N$12,6,FALSE)</f>
      </c>
      <c r="F58" s="5">
        <f>VLOOKUP(B58,'01_Hero_Base'!$A$5:$N$12,7,FALSE)</f>
      </c>
      <c r="G58" s="5">
        <f>VLOOKUP(A58,'01_Hero_Base'!$A$5:$N$12,4,FALSE)</f>
      </c>
      <c r="H58" s="5">
        <f>D58</f>
      </c>
      <c r="I58" s="5">
        <f>MAX(0,E58-'00_Assumptions'!$C$10)</f>
      </c>
      <c r="J58" s="5">
        <f>H58-I58</f>
      </c>
      <c r="K58" s="5">
        <f>IF(C58=0,0,H58/C58)</f>
      </c>
      <c r="L58" s="5">
        <f>IF(H58=0,"∞",ROUNDUP(F58/H58,0))</f>
      </c>
      <c r="M58" s="5">
        <f>IF(I58&gt;=3,"高",IF(I58&gt;=2,"中","低"))</f>
      </c>
      <c r="N58" t="inlineStr" s="6">
        <is>
          <t>基础交换；不代表实战预测。</t>
        </is>
      </c>
    </row>
    <row r="59">
      <c r="A59" t="inlineStr" s="0">
        <is>
          <t>barbarian</t>
        </is>
      </c>
      <c r="B59" t="inlineStr" s="0">
        <is>
          <t>barbarian</t>
        </is>
      </c>
      <c r="C59" s="5">
        <f>VLOOKUP(A59,'01_Hero_Base'!$A$5:$N$12,5,FALSE)</f>
      </c>
      <c r="D59" s="5">
        <f>VLOOKUP(A59,'01_Hero_Base'!$A$5:$N$12,6,FALSE)</f>
      </c>
      <c r="E59" s="5">
        <f>VLOOKUP(B59,'01_Hero_Base'!$A$5:$N$12,6,FALSE)</f>
      </c>
      <c r="F59" s="5">
        <f>VLOOKUP(B59,'01_Hero_Base'!$A$5:$N$12,7,FALSE)</f>
      </c>
      <c r="G59" s="5">
        <f>VLOOKUP(A59,'01_Hero_Base'!$A$5:$N$12,4,FALSE)</f>
      </c>
      <c r="H59" s="5">
        <f>D59</f>
      </c>
      <c r="I59" s="5">
        <f>MAX(0,E59-'00_Assumptions'!$C$10)</f>
      </c>
      <c r="J59" s="5">
        <f>H59-I59</f>
      </c>
      <c r="K59" s="5">
        <f>IF(C59=0,0,H59/C59)</f>
      </c>
      <c r="L59" s="5">
        <f>IF(H59=0,"∞",ROUNDUP(F59/H59,0))</f>
      </c>
      <c r="M59" s="5">
        <f>IF(I59&gt;=3,"高",IF(I59&gt;=2,"中","低"))</f>
      </c>
      <c r="N59" t="inlineStr" s="6">
        <is>
          <t>基础交换；不代表实战预测。</t>
        </is>
      </c>
    </row>
    <row r="60">
      <c r="A60" t="inlineStr" s="0">
        <is>
          <t>barbarian</t>
        </is>
      </c>
      <c r="B60" t="inlineStr" s="0">
        <is>
          <t>monster</t>
        </is>
      </c>
      <c r="C60" s="5">
        <f>VLOOKUP(A60,'01_Hero_Base'!$A$5:$N$12,5,FALSE)</f>
      </c>
      <c r="D60" s="5">
        <f>VLOOKUP(A60,'01_Hero_Base'!$A$5:$N$12,6,FALSE)</f>
      </c>
      <c r="E60" s="5">
        <f>VLOOKUP(B60,'01_Hero_Base'!$A$5:$N$12,6,FALSE)</f>
      </c>
      <c r="F60" s="5">
        <f>VLOOKUP(B60,'01_Hero_Base'!$A$5:$N$12,7,FALSE)</f>
      </c>
      <c r="G60" s="5">
        <f>VLOOKUP(A60,'01_Hero_Base'!$A$5:$N$12,4,FALSE)</f>
      </c>
      <c r="H60" s="5">
        <f>D60</f>
      </c>
      <c r="I60" s="5">
        <f>MAX(0,E60-'00_Assumptions'!$C$10)</f>
      </c>
      <c r="J60" s="5">
        <f>H60-I60</f>
      </c>
      <c r="K60" s="5">
        <f>IF(C60=0,0,H60/C60)</f>
      </c>
      <c r="L60" s="5">
        <f>IF(H60=0,"∞",ROUNDUP(F60/H60,0))</f>
      </c>
      <c r="M60" s="5">
        <f>IF(I60&gt;=3,"高",IF(I60&gt;=2,"中","低"))</f>
      </c>
      <c r="N60" t="inlineStr" s="6">
        <is>
          <t>基础交换；不代表实战预测。</t>
        </is>
      </c>
    </row>
    <row r="61">
      <c r="A61" t="inlineStr" s="0">
        <is>
          <t>monster</t>
        </is>
      </c>
      <c r="B61" t="inlineStr" s="0">
        <is>
          <t>peasant</t>
        </is>
      </c>
      <c r="C61" s="5">
        <f>VLOOKUP(A61,'01_Hero_Base'!$A$5:$N$12,5,FALSE)</f>
      </c>
      <c r="D61" s="5">
        <f>VLOOKUP(A61,'01_Hero_Base'!$A$5:$N$12,6,FALSE)</f>
      </c>
      <c r="E61" s="5">
        <f>VLOOKUP(B61,'01_Hero_Base'!$A$5:$N$12,6,FALSE)</f>
      </c>
      <c r="F61" s="5">
        <f>VLOOKUP(B61,'01_Hero_Base'!$A$5:$N$12,7,FALSE)</f>
      </c>
      <c r="G61" s="5">
        <f>VLOOKUP(A61,'01_Hero_Base'!$A$5:$N$12,4,FALSE)</f>
      </c>
      <c r="H61" s="5">
        <f>D61</f>
      </c>
      <c r="I61" s="5">
        <f>MAX(0,E61-'00_Assumptions'!$C$10)</f>
      </c>
      <c r="J61" s="5">
        <f>H61-I61</f>
      </c>
      <c r="K61" s="5">
        <f>IF(C61=0,0,H61/C61)</f>
      </c>
      <c r="L61" s="5">
        <f>IF(H61=0,"∞",ROUNDUP(F61/H61,0))</f>
      </c>
      <c r="M61" s="5">
        <f>IF(I61&gt;=3,"高",IF(I61&gt;=2,"中","低"))</f>
      </c>
      <c r="N61" t="inlineStr" s="6">
        <is>
          <t>基础交换；不代表实战预测。</t>
        </is>
      </c>
    </row>
    <row r="62">
      <c r="A62" t="inlineStr" s="0">
        <is>
          <t>monster</t>
        </is>
      </c>
      <c r="B62" t="inlineStr" s="0">
        <is>
          <t>princess</t>
        </is>
      </c>
      <c r="C62" s="5">
        <f>VLOOKUP(A62,'01_Hero_Base'!$A$5:$N$12,5,FALSE)</f>
      </c>
      <c r="D62" s="5">
        <f>VLOOKUP(A62,'01_Hero_Base'!$A$5:$N$12,6,FALSE)</f>
      </c>
      <c r="E62" s="5">
        <f>VLOOKUP(B62,'01_Hero_Base'!$A$5:$N$12,6,FALSE)</f>
      </c>
      <c r="F62" s="5">
        <f>VLOOKUP(B62,'01_Hero_Base'!$A$5:$N$12,7,FALSE)</f>
      </c>
      <c r="G62" s="5">
        <f>VLOOKUP(A62,'01_Hero_Base'!$A$5:$N$12,4,FALSE)</f>
      </c>
      <c r="H62" s="5">
        <f>D62</f>
      </c>
      <c r="I62" s="5">
        <f>MAX(0,E62-'00_Assumptions'!$C$10)</f>
      </c>
      <c r="J62" s="5">
        <f>H62-I62</f>
      </c>
      <c r="K62" s="5">
        <f>IF(C62=0,0,H62/C62)</f>
      </c>
      <c r="L62" s="5">
        <f>IF(H62=0,"∞",ROUNDUP(F62/H62,0))</f>
      </c>
      <c r="M62" s="5">
        <f>IF(I62&gt;=3,"高",IF(I62&gt;=2,"中","低"))</f>
      </c>
      <c r="N62" t="inlineStr" s="6">
        <is>
          <t>基础交换；不代表实战预测。</t>
        </is>
      </c>
    </row>
    <row r="63">
      <c r="A63" t="inlineStr" s="0">
        <is>
          <t>monster</t>
        </is>
      </c>
      <c r="B63" t="inlineStr" s="0">
        <is>
          <t>mage</t>
        </is>
      </c>
      <c r="C63" s="5">
        <f>VLOOKUP(A63,'01_Hero_Base'!$A$5:$N$12,5,FALSE)</f>
      </c>
      <c r="D63" s="5">
        <f>VLOOKUP(A63,'01_Hero_Base'!$A$5:$N$12,6,FALSE)</f>
      </c>
      <c r="E63" s="5">
        <f>VLOOKUP(B63,'01_Hero_Base'!$A$5:$N$12,6,FALSE)</f>
      </c>
      <c r="F63" s="5">
        <f>VLOOKUP(B63,'01_Hero_Base'!$A$5:$N$12,7,FALSE)</f>
      </c>
      <c r="G63" s="5">
        <f>VLOOKUP(A63,'01_Hero_Base'!$A$5:$N$12,4,FALSE)</f>
      </c>
      <c r="H63" s="5">
        <f>D63</f>
      </c>
      <c r="I63" s="5">
        <f>MAX(0,E63-'00_Assumptions'!$C$10)</f>
      </c>
      <c r="J63" s="5">
        <f>H63-I63</f>
      </c>
      <c r="K63" s="5">
        <f>IF(C63=0,0,H63/C63)</f>
      </c>
      <c r="L63" s="5">
        <f>IF(H63=0,"∞",ROUNDUP(F63/H63,0))</f>
      </c>
      <c r="M63" s="5">
        <f>IF(I63&gt;=3,"高",IF(I63&gt;=2,"中","低"))</f>
      </c>
      <c r="N63" t="inlineStr" s="6">
        <is>
          <t>基础交换；不代表实战预测。</t>
        </is>
      </c>
    </row>
    <row r="64">
      <c r="A64" t="inlineStr" s="0">
        <is>
          <t>monster</t>
        </is>
      </c>
      <c r="B64" t="inlineStr" s="0">
        <is>
          <t>oracle</t>
        </is>
      </c>
      <c r="C64" s="5">
        <f>VLOOKUP(A64,'01_Hero_Base'!$A$5:$N$12,5,FALSE)</f>
      </c>
      <c r="D64" s="5">
        <f>VLOOKUP(A64,'01_Hero_Base'!$A$5:$N$12,6,FALSE)</f>
      </c>
      <c r="E64" s="5">
        <f>VLOOKUP(B64,'01_Hero_Base'!$A$5:$N$12,6,FALSE)</f>
      </c>
      <c r="F64" s="5">
        <f>VLOOKUP(B64,'01_Hero_Base'!$A$5:$N$12,7,FALSE)</f>
      </c>
      <c r="G64" s="5">
        <f>VLOOKUP(A64,'01_Hero_Base'!$A$5:$N$12,4,FALSE)</f>
      </c>
      <c r="H64" s="5">
        <f>D64</f>
      </c>
      <c r="I64" s="5">
        <f>MAX(0,E64-'00_Assumptions'!$C$10)</f>
      </c>
      <c r="J64" s="5">
        <f>H64-I64</f>
      </c>
      <c r="K64" s="5">
        <f>IF(C64=0,0,H64/C64)</f>
      </c>
      <c r="L64" s="5">
        <f>IF(H64=0,"∞",ROUNDUP(F64/H64,0))</f>
      </c>
      <c r="M64" s="5">
        <f>IF(I64&gt;=3,"高",IF(I64&gt;=2,"中","低"))</f>
      </c>
      <c r="N64" t="inlineStr" s="6">
        <is>
          <t>基础交换；不代表实战预测。</t>
        </is>
      </c>
    </row>
    <row r="65">
      <c r="A65" t="inlineStr" s="0">
        <is>
          <t>monster</t>
        </is>
      </c>
      <c r="B65" t="inlineStr" s="0">
        <is>
          <t>knight</t>
        </is>
      </c>
      <c r="C65" s="5">
        <f>VLOOKUP(A65,'01_Hero_Base'!$A$5:$N$12,5,FALSE)</f>
      </c>
      <c r="D65" s="5">
        <f>VLOOKUP(A65,'01_Hero_Base'!$A$5:$N$12,6,FALSE)</f>
      </c>
      <c r="E65" s="5">
        <f>VLOOKUP(B65,'01_Hero_Base'!$A$5:$N$12,6,FALSE)</f>
      </c>
      <c r="F65" s="5">
        <f>VLOOKUP(B65,'01_Hero_Base'!$A$5:$N$12,7,FALSE)</f>
      </c>
      <c r="G65" s="5">
        <f>VLOOKUP(A65,'01_Hero_Base'!$A$5:$N$12,4,FALSE)</f>
      </c>
      <c r="H65" s="5">
        <f>D65</f>
      </c>
      <c r="I65" s="5">
        <f>MAX(0,E65-'00_Assumptions'!$C$10)</f>
      </c>
      <c r="J65" s="5">
        <f>H65-I65</f>
      </c>
      <c r="K65" s="5">
        <f>IF(C65=0,0,H65/C65)</f>
      </c>
      <c r="L65" s="5">
        <f>IF(H65=0,"∞",ROUNDUP(F65/H65,0))</f>
      </c>
      <c r="M65" s="5">
        <f>IF(I65&gt;=3,"高",IF(I65&gt;=2,"中","低"))</f>
      </c>
      <c r="N65" t="inlineStr" s="6">
        <is>
          <t>基础交换；不代表实战预测。</t>
        </is>
      </c>
    </row>
    <row r="66">
      <c r="A66" t="inlineStr" s="0">
        <is>
          <t>monster</t>
        </is>
      </c>
      <c r="B66" t="inlineStr" s="0">
        <is>
          <t>druid</t>
        </is>
      </c>
      <c r="C66" s="5">
        <f>VLOOKUP(A66,'01_Hero_Base'!$A$5:$N$12,5,FALSE)</f>
      </c>
      <c r="D66" s="5">
        <f>VLOOKUP(A66,'01_Hero_Base'!$A$5:$N$12,6,FALSE)</f>
      </c>
      <c r="E66" s="5">
        <f>VLOOKUP(B66,'01_Hero_Base'!$A$5:$N$12,6,FALSE)</f>
      </c>
      <c r="F66" s="5">
        <f>VLOOKUP(B66,'01_Hero_Base'!$A$5:$N$12,7,FALSE)</f>
      </c>
      <c r="G66" s="5">
        <f>VLOOKUP(A66,'01_Hero_Base'!$A$5:$N$12,4,FALSE)</f>
      </c>
      <c r="H66" s="5">
        <f>D66</f>
      </c>
      <c r="I66" s="5">
        <f>MAX(0,E66-'00_Assumptions'!$C$10)</f>
      </c>
      <c r="J66" s="5">
        <f>H66-I66</f>
      </c>
      <c r="K66" s="5">
        <f>IF(C66=0,0,H66/C66)</f>
      </c>
      <c r="L66" s="5">
        <f>IF(H66=0,"∞",ROUNDUP(F66/H66,0))</f>
      </c>
      <c r="M66" s="5">
        <f>IF(I66&gt;=3,"高",IF(I66&gt;=2,"中","低"))</f>
      </c>
      <c r="N66" t="inlineStr" s="6">
        <is>
          <t>基础交换；不代表实战预测。</t>
        </is>
      </c>
    </row>
    <row r="67">
      <c r="A67" t="inlineStr" s="0">
        <is>
          <t>monster</t>
        </is>
      </c>
      <c r="B67" t="inlineStr" s="0">
        <is>
          <t>barbarian</t>
        </is>
      </c>
      <c r="C67" s="5">
        <f>VLOOKUP(A67,'01_Hero_Base'!$A$5:$N$12,5,FALSE)</f>
      </c>
      <c r="D67" s="5">
        <f>VLOOKUP(A67,'01_Hero_Base'!$A$5:$N$12,6,FALSE)</f>
      </c>
      <c r="E67" s="5">
        <f>VLOOKUP(B67,'01_Hero_Base'!$A$5:$N$12,6,FALSE)</f>
      </c>
      <c r="F67" s="5">
        <f>VLOOKUP(B67,'01_Hero_Base'!$A$5:$N$12,7,FALSE)</f>
      </c>
      <c r="G67" s="5">
        <f>VLOOKUP(A67,'01_Hero_Base'!$A$5:$N$12,4,FALSE)</f>
      </c>
      <c r="H67" s="5">
        <f>D67</f>
      </c>
      <c r="I67" s="5">
        <f>MAX(0,E67-'00_Assumptions'!$C$10)</f>
      </c>
      <c r="J67" s="5">
        <f>H67-I67</f>
      </c>
      <c r="K67" s="5">
        <f>IF(C67=0,0,H67/C67)</f>
      </c>
      <c r="L67" s="5">
        <f>IF(H67=0,"∞",ROUNDUP(F67/H67,0))</f>
      </c>
      <c r="M67" s="5">
        <f>IF(I67&gt;=3,"高",IF(I67&gt;=2,"中","低"))</f>
      </c>
      <c r="N67" t="inlineStr" s="6">
        <is>
          <t>基础交换；不代表实战预测。</t>
        </is>
      </c>
    </row>
    <row r="68">
      <c r="A68" t="inlineStr" s="0">
        <is>
          <t>monster</t>
        </is>
      </c>
      <c r="B68" t="inlineStr" s="0">
        <is>
          <t>monster</t>
        </is>
      </c>
      <c r="C68" s="5">
        <f>VLOOKUP(A68,'01_Hero_Base'!$A$5:$N$12,5,FALSE)</f>
      </c>
      <c r="D68" s="5">
        <f>VLOOKUP(A68,'01_Hero_Base'!$A$5:$N$12,6,FALSE)</f>
      </c>
      <c r="E68" s="5">
        <f>VLOOKUP(B68,'01_Hero_Base'!$A$5:$N$12,6,FALSE)</f>
      </c>
      <c r="F68" s="5">
        <f>VLOOKUP(B68,'01_Hero_Base'!$A$5:$N$12,7,FALSE)</f>
      </c>
      <c r="G68" s="5">
        <f>VLOOKUP(A68,'01_Hero_Base'!$A$5:$N$12,4,FALSE)</f>
      </c>
      <c r="H68" s="5">
        <f>D68</f>
      </c>
      <c r="I68" s="5">
        <f>MAX(0,E68-'00_Assumptions'!$C$10)</f>
      </c>
      <c r="J68" s="5">
        <f>H68-I68</f>
      </c>
      <c r="K68" s="5">
        <f>IF(C68=0,0,H68/C68)</f>
      </c>
      <c r="L68" s="5">
        <f>IF(H68=0,"∞",ROUNDUP(F68/H68,0))</f>
      </c>
      <c r="M68" s="5">
        <f>IF(I68&gt;=3,"高",IF(I68&gt;=2,"中","低"))</f>
      </c>
      <c r="N68" t="inlineStr" s="6">
        <is>
          <t>基础交换；不代表实战预测。</t>
        </is>
      </c>
    </row>
  </sheetData>
  <autoFilter ref="A4:N68"/>
  <mergeCells count="2">
    <mergeCell ref="A1:N1"/>
    <mergeCell ref="A2:N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44"/>
  <sheetViews>
    <sheetView workbookViewId="0">
      <pane ySplit="4" topLeftCell="A5" activePane="bottomLeft" state="frozen"/>
      <selection pane="bottomLeft"/>
    </sheetView>
  </sheetViews>
  <cols>
    <col min="1" max="1" width="14" customWidth="1"/>
    <col min="2" max="2" width="16" customWidth="1"/>
    <col min="3" max="3" width="9" customWidth="1"/>
    <col min="4" max="4" width="11" customWidth="1"/>
    <col min="5" max="5" width="10" customWidth="1"/>
    <col min="6" max="6" width="11" customWidth="1"/>
    <col min="7" max="7" width="11" customWidth="1"/>
    <col min="8" max="8" width="10" customWidth="1"/>
    <col min="9" max="9" width="11" customWidth="1"/>
    <col min="10" max="10" width="11" customWidth="1"/>
    <col min="11" max="11" width="10" customWidth="1"/>
    <col min="12" max="12" width="11" customWidth="1"/>
    <col min="13" max="13" width="20" customWidth="1"/>
    <col min="14" max="14" width="13" customWidth="1"/>
    <col min="15" max="15" width="44" customWidth="1"/>
  </cols>
  <sheetData>
    <row r="1" ht="24" customHeight="1">
      <c r="A1" t="inlineStr" s="1">
        <is>
          <t>04 Upgrade Curve Draft — 英雄升级曲线草案</t>
        </is>
      </c>
    </row>
    <row r="2" ht="40" customHeight="1">
      <c r="A2" t="inlineStr" s="2">
        <is>
          <t>未来爬塔/成长系统使用。当前只给 Level 1 现行值，Level 2–5 留输入列。建议每次升级只强调一个主要变量。</t>
        </is>
      </c>
    </row>
    <row r="3"/>
    <row r="4" ht="34" customHeight="1">
      <c r="A4" t="inlineStr" s="3">
        <is>
          <t>ID</t>
        </is>
      </c>
      <c r="B4" t="inlineStr" s="3">
        <is>
          <t>日文名</t>
        </is>
      </c>
      <c r="C4" t="inlineStr" s="3">
        <is>
          <t>Level</t>
        </is>
      </c>
      <c r="D4" t="inlineStr" s="3">
        <is>
          <t>Base ATK</t>
        </is>
      </c>
      <c r="E4" t="inlineStr" s="3">
        <is>
          <t>ATK Δ</t>
        </is>
      </c>
      <c r="F4" t="inlineStr" s="3">
        <is>
          <t>ATK Total</t>
        </is>
      </c>
      <c r="G4" t="inlineStr" s="3">
        <is>
          <t>Base HP</t>
        </is>
      </c>
      <c r="H4" t="inlineStr" s="3">
        <is>
          <t>HP Δ</t>
        </is>
      </c>
      <c r="I4" t="inlineStr" s="3">
        <is>
          <t>HP Total</t>
        </is>
      </c>
      <c r="J4" t="inlineStr" s="3">
        <is>
          <t>Base Cost</t>
        </is>
      </c>
      <c r="K4" t="inlineStr" s="3">
        <is>
          <t>Cost Δ</t>
        </is>
      </c>
      <c r="L4" t="inlineStr" s="3">
        <is>
          <t>Cost Total</t>
        </is>
      </c>
      <c r="M4" t="inlineStr" s="3">
        <is>
          <t>Skill Upgrade Tag</t>
        </is>
      </c>
      <c r="N4" t="inlineStr" s="3">
        <is>
          <t>Draft Power</t>
        </is>
      </c>
      <c r="O4" t="inlineStr" s="3">
        <is>
          <t>Design Notes</t>
        </is>
      </c>
    </row>
    <row r="5">
      <c r="A5" t="inlineStr" s="0">
        <is>
          <t>peasant</t>
        </is>
      </c>
      <c r="B5" t="inlineStr" s="0">
        <is>
          <t>農民</t>
        </is>
      </c>
      <c r="C5" s="8">
        <v>1</v>
      </c>
      <c r="D5" s="5">
        <f>VLOOKUP(A5,'01_Hero_Base'!$A$5:$N$12,6,FALSE)</f>
      </c>
      <c r="E5" s="4">
        <v>0</v>
      </c>
      <c r="F5" s="5">
        <f>D5+IF(E5="",0,E5)</f>
      </c>
      <c r="G5" s="5">
        <f>VLOOKUP(A5,'01_Hero_Base'!$A$5:$N$12,7,FALSE)</f>
      </c>
      <c r="H5" s="4">
        <v>0</v>
      </c>
      <c r="I5" s="5">
        <f>G5+IF(H5="",0,H5)</f>
      </c>
      <c r="J5" s="5">
        <f>VLOOKUP(A5,'01_Hero_Base'!$A$5:$N$12,5,FALSE)</f>
      </c>
      <c r="K5" s="4">
        <v>0</v>
      </c>
      <c r="L5" s="5">
        <f>MAX(1,J5+IF(K5="",0,K5))</f>
      </c>
      <c r="M5" s="4"/>
      <c r="N5" s="5">
        <f>F5*'00_Assumptions'!$C$22+I5*'00_Assumptions'!$C$23+('00_Assumptions'!$C$5-L5)*'00_Assumptions'!$C$24</f>
      </c>
      <c r="O5" t="inlineStr" s="6">
        <is>
          <t>现行基础值。</t>
        </is>
      </c>
    </row>
    <row r="6">
      <c r="A6" t="inlineStr" s="0">
        <is>
          <t>peasant</t>
        </is>
      </c>
      <c r="B6" t="inlineStr" s="0">
        <is>
          <t>農民</t>
        </is>
      </c>
      <c r="C6" s="8">
        <v>2</v>
      </c>
      <c r="D6" s="5">
        <f>VLOOKUP(A6,'01_Hero_Base'!$A$5:$N$12,6,FALSE)</f>
      </c>
      <c r="E6" s="4"/>
      <c r="F6" s="5">
        <f>D6+IF(E6="",0,E6)</f>
      </c>
      <c r="G6" s="5">
        <f>VLOOKUP(A6,'01_Hero_Base'!$A$5:$N$12,7,FALSE)</f>
      </c>
      <c r="H6" s="4"/>
      <c r="I6" s="5">
        <f>G6+IF(H6="",0,H6)</f>
      </c>
      <c r="J6" s="5">
        <f>VLOOKUP(A6,'01_Hero_Base'!$A$5:$N$12,5,FALSE)</f>
      </c>
      <c r="K6" s="4"/>
      <c r="L6" s="5">
        <f>MAX(1,J6+IF(K6="",0,K6))</f>
      </c>
      <c r="M6" t="inlineStr" s="4">
        <is>
          <t>TBD</t>
        </is>
      </c>
      <c r="N6" s="5">
        <f>F6*'00_Assumptions'!$C$22+I6*'00_Assumptions'!$C$23+('00_Assumptions'!$C$5-L6)*'00_Assumptions'!$C$24</f>
      </c>
      <c r="O6" t="inlineStr" s="6">
        <is>
          <t>待设计：填入本等级的成长或技能强化。</t>
        </is>
      </c>
    </row>
    <row r="7">
      <c r="A7" t="inlineStr" s="0">
        <is>
          <t>peasant</t>
        </is>
      </c>
      <c r="B7" t="inlineStr" s="0">
        <is>
          <t>農民</t>
        </is>
      </c>
      <c r="C7" s="8">
        <v>3</v>
      </c>
      <c r="D7" s="5">
        <f>VLOOKUP(A7,'01_Hero_Base'!$A$5:$N$12,6,FALSE)</f>
      </c>
      <c r="E7" s="4"/>
      <c r="F7" s="5">
        <f>D7+IF(E7="",0,E7)</f>
      </c>
      <c r="G7" s="5">
        <f>VLOOKUP(A7,'01_Hero_Base'!$A$5:$N$12,7,FALSE)</f>
      </c>
      <c r="H7" s="4"/>
      <c r="I7" s="5">
        <f>G7+IF(H7="",0,H7)</f>
      </c>
      <c r="J7" s="5">
        <f>VLOOKUP(A7,'01_Hero_Base'!$A$5:$N$12,5,FALSE)</f>
      </c>
      <c r="K7" s="4"/>
      <c r="L7" s="5">
        <f>MAX(1,J7+IF(K7="",0,K7))</f>
      </c>
      <c r="M7" t="inlineStr" s="4">
        <is>
          <t>TBD</t>
        </is>
      </c>
      <c r="N7" s="5">
        <f>F7*'00_Assumptions'!$C$22+I7*'00_Assumptions'!$C$23+('00_Assumptions'!$C$5-L7)*'00_Assumptions'!$C$24</f>
      </c>
      <c r="O7" t="inlineStr" s="6">
        <is>
          <t>待设计：填入本等级的成长或技能强化。</t>
        </is>
      </c>
    </row>
    <row r="8">
      <c r="A8" t="inlineStr" s="0">
        <is>
          <t>peasant</t>
        </is>
      </c>
      <c r="B8" t="inlineStr" s="0">
        <is>
          <t>農民</t>
        </is>
      </c>
      <c r="C8" s="8">
        <v>4</v>
      </c>
      <c r="D8" s="5">
        <f>VLOOKUP(A8,'01_Hero_Base'!$A$5:$N$12,6,FALSE)</f>
      </c>
      <c r="E8" s="4"/>
      <c r="F8" s="5">
        <f>D8+IF(E8="",0,E8)</f>
      </c>
      <c r="G8" s="5">
        <f>VLOOKUP(A8,'01_Hero_Base'!$A$5:$N$12,7,FALSE)</f>
      </c>
      <c r="H8" s="4"/>
      <c r="I8" s="5">
        <f>G8+IF(H8="",0,H8)</f>
      </c>
      <c r="J8" s="5">
        <f>VLOOKUP(A8,'01_Hero_Base'!$A$5:$N$12,5,FALSE)</f>
      </c>
      <c r="K8" s="4"/>
      <c r="L8" s="5">
        <f>MAX(1,J8+IF(K8="",0,K8))</f>
      </c>
      <c r="M8" t="inlineStr" s="4">
        <is>
          <t>TBD</t>
        </is>
      </c>
      <c r="N8" s="5">
        <f>F8*'00_Assumptions'!$C$22+I8*'00_Assumptions'!$C$23+('00_Assumptions'!$C$5-L8)*'00_Assumptions'!$C$24</f>
      </c>
      <c r="O8" t="inlineStr" s="6">
        <is>
          <t>待设计：填入本等级的成长或技能强化。</t>
        </is>
      </c>
    </row>
    <row r="9">
      <c r="A9" t="inlineStr" s="0">
        <is>
          <t>peasant</t>
        </is>
      </c>
      <c r="B9" t="inlineStr" s="0">
        <is>
          <t>農民</t>
        </is>
      </c>
      <c r="C9" s="8">
        <v>5</v>
      </c>
      <c r="D9" s="5">
        <f>VLOOKUP(A9,'01_Hero_Base'!$A$5:$N$12,6,FALSE)</f>
      </c>
      <c r="E9" s="4"/>
      <c r="F9" s="5">
        <f>D9+IF(E9="",0,E9)</f>
      </c>
      <c r="G9" s="5">
        <f>VLOOKUP(A9,'01_Hero_Base'!$A$5:$N$12,7,FALSE)</f>
      </c>
      <c r="H9" s="4"/>
      <c r="I9" s="5">
        <f>G9+IF(H9="",0,H9)</f>
      </c>
      <c r="J9" s="5">
        <f>VLOOKUP(A9,'01_Hero_Base'!$A$5:$N$12,5,FALSE)</f>
      </c>
      <c r="K9" s="4"/>
      <c r="L9" s="5">
        <f>MAX(1,J9+IF(K9="",0,K9))</f>
      </c>
      <c r="M9" t="inlineStr" s="4">
        <is>
          <t>TBD</t>
        </is>
      </c>
      <c r="N9" s="5">
        <f>F9*'00_Assumptions'!$C$22+I9*'00_Assumptions'!$C$23+('00_Assumptions'!$C$5-L9)*'00_Assumptions'!$C$24</f>
      </c>
      <c r="O9" t="inlineStr" s="6">
        <is>
          <t>待设计：填入本等级的成长或技能强化。</t>
        </is>
      </c>
    </row>
    <row r="10">
      <c r="A10" t="inlineStr" s="0">
        <is>
          <t>princess</t>
        </is>
      </c>
      <c r="B10" t="inlineStr" s="0">
        <is>
          <t>姫</t>
        </is>
      </c>
      <c r="C10" s="8">
        <v>1</v>
      </c>
      <c r="D10" s="5">
        <f>VLOOKUP(A10,'01_Hero_Base'!$A$5:$N$12,6,FALSE)</f>
      </c>
      <c r="E10" s="4">
        <v>0</v>
      </c>
      <c r="F10" s="5">
        <f>D10+IF(E10="",0,E10)</f>
      </c>
      <c r="G10" s="5">
        <f>VLOOKUP(A10,'01_Hero_Base'!$A$5:$N$12,7,FALSE)</f>
      </c>
      <c r="H10" s="4">
        <v>0</v>
      </c>
      <c r="I10" s="5">
        <f>G10+IF(H10="",0,H10)</f>
      </c>
      <c r="J10" s="5">
        <f>VLOOKUP(A10,'01_Hero_Base'!$A$5:$N$12,5,FALSE)</f>
      </c>
      <c r="K10" s="4">
        <v>0</v>
      </c>
      <c r="L10" s="5">
        <f>MAX(1,J10+IF(K10="",0,K10))</f>
      </c>
      <c r="M10" s="4"/>
      <c r="N10" s="5">
        <f>F10*'00_Assumptions'!$C$22+I10*'00_Assumptions'!$C$23+('00_Assumptions'!$C$5-L10)*'00_Assumptions'!$C$24</f>
      </c>
      <c r="O10" t="inlineStr" s="6">
        <is>
          <t>现行基础值。</t>
        </is>
      </c>
    </row>
    <row r="11">
      <c r="A11" t="inlineStr" s="0">
        <is>
          <t>princess</t>
        </is>
      </c>
      <c r="B11" t="inlineStr" s="0">
        <is>
          <t>姫</t>
        </is>
      </c>
      <c r="C11" s="8">
        <v>2</v>
      </c>
      <c r="D11" s="5">
        <f>VLOOKUP(A11,'01_Hero_Base'!$A$5:$N$12,6,FALSE)</f>
      </c>
      <c r="E11" s="4"/>
      <c r="F11" s="5">
        <f>D11+IF(E11="",0,E11)</f>
      </c>
      <c r="G11" s="5">
        <f>VLOOKUP(A11,'01_Hero_Base'!$A$5:$N$12,7,FALSE)</f>
      </c>
      <c r="H11" s="4"/>
      <c r="I11" s="5">
        <f>G11+IF(H11="",0,H11)</f>
      </c>
      <c r="J11" s="5">
        <f>VLOOKUP(A11,'01_Hero_Base'!$A$5:$N$12,5,FALSE)</f>
      </c>
      <c r="K11" s="4"/>
      <c r="L11" s="5">
        <f>MAX(1,J11+IF(K11="",0,K11))</f>
      </c>
      <c r="M11" t="inlineStr" s="4">
        <is>
          <t>TBD</t>
        </is>
      </c>
      <c r="N11" s="5">
        <f>F11*'00_Assumptions'!$C$22+I11*'00_Assumptions'!$C$23+('00_Assumptions'!$C$5-L11)*'00_Assumptions'!$C$24</f>
      </c>
      <c r="O11" t="inlineStr" s="6">
        <is>
          <t>待设计：填入本等级的成长或技能强化。</t>
        </is>
      </c>
    </row>
    <row r="12">
      <c r="A12" t="inlineStr" s="0">
        <is>
          <t>princess</t>
        </is>
      </c>
      <c r="B12" t="inlineStr" s="0">
        <is>
          <t>姫</t>
        </is>
      </c>
      <c r="C12" s="8">
        <v>3</v>
      </c>
      <c r="D12" s="5">
        <f>VLOOKUP(A12,'01_Hero_Base'!$A$5:$N$12,6,FALSE)</f>
      </c>
      <c r="E12" s="4"/>
      <c r="F12" s="5">
        <f>D12+IF(E12="",0,E12)</f>
      </c>
      <c r="G12" s="5">
        <f>VLOOKUP(A12,'01_Hero_Base'!$A$5:$N$12,7,FALSE)</f>
      </c>
      <c r="H12" s="4"/>
      <c r="I12" s="5">
        <f>G12+IF(H12="",0,H12)</f>
      </c>
      <c r="J12" s="5">
        <f>VLOOKUP(A12,'01_Hero_Base'!$A$5:$N$12,5,FALSE)</f>
      </c>
      <c r="K12" s="4"/>
      <c r="L12" s="5">
        <f>MAX(1,J12+IF(K12="",0,K12))</f>
      </c>
      <c r="M12" t="inlineStr" s="4">
        <is>
          <t>TBD</t>
        </is>
      </c>
      <c r="N12" s="5">
        <f>F12*'00_Assumptions'!$C$22+I12*'00_Assumptions'!$C$23+('00_Assumptions'!$C$5-L12)*'00_Assumptions'!$C$24</f>
      </c>
      <c r="O12" t="inlineStr" s="6">
        <is>
          <t>待设计：填入本等级的成长或技能强化。</t>
        </is>
      </c>
    </row>
    <row r="13">
      <c r="A13" t="inlineStr" s="0">
        <is>
          <t>princess</t>
        </is>
      </c>
      <c r="B13" t="inlineStr" s="0">
        <is>
          <t>姫</t>
        </is>
      </c>
      <c r="C13" s="8">
        <v>4</v>
      </c>
      <c r="D13" s="5">
        <f>VLOOKUP(A13,'01_Hero_Base'!$A$5:$N$12,6,FALSE)</f>
      </c>
      <c r="E13" s="4"/>
      <c r="F13" s="5">
        <f>D13+IF(E13="",0,E13)</f>
      </c>
      <c r="G13" s="5">
        <f>VLOOKUP(A13,'01_Hero_Base'!$A$5:$N$12,7,FALSE)</f>
      </c>
      <c r="H13" s="4"/>
      <c r="I13" s="5">
        <f>G13+IF(H13="",0,H13)</f>
      </c>
      <c r="J13" s="5">
        <f>VLOOKUP(A13,'01_Hero_Base'!$A$5:$N$12,5,FALSE)</f>
      </c>
      <c r="K13" s="4"/>
      <c r="L13" s="5">
        <f>MAX(1,J13+IF(K13="",0,K13))</f>
      </c>
      <c r="M13" t="inlineStr" s="4">
        <is>
          <t>TBD</t>
        </is>
      </c>
      <c r="N13" s="5">
        <f>F13*'00_Assumptions'!$C$22+I13*'00_Assumptions'!$C$23+('00_Assumptions'!$C$5-L13)*'00_Assumptions'!$C$24</f>
      </c>
      <c r="O13" t="inlineStr" s="6">
        <is>
          <t>待设计：填入本等级的成长或技能强化。</t>
        </is>
      </c>
    </row>
    <row r="14">
      <c r="A14" t="inlineStr" s="0">
        <is>
          <t>princess</t>
        </is>
      </c>
      <c r="B14" t="inlineStr" s="0">
        <is>
          <t>姫</t>
        </is>
      </c>
      <c r="C14" s="8">
        <v>5</v>
      </c>
      <c r="D14" s="5">
        <f>VLOOKUP(A14,'01_Hero_Base'!$A$5:$N$12,6,FALSE)</f>
      </c>
      <c r="E14" s="4"/>
      <c r="F14" s="5">
        <f>D14+IF(E14="",0,E14)</f>
      </c>
      <c r="G14" s="5">
        <f>VLOOKUP(A14,'01_Hero_Base'!$A$5:$N$12,7,FALSE)</f>
      </c>
      <c r="H14" s="4"/>
      <c r="I14" s="5">
        <f>G14+IF(H14="",0,H14)</f>
      </c>
      <c r="J14" s="5">
        <f>VLOOKUP(A14,'01_Hero_Base'!$A$5:$N$12,5,FALSE)</f>
      </c>
      <c r="K14" s="4"/>
      <c r="L14" s="5">
        <f>MAX(1,J14+IF(K14="",0,K14))</f>
      </c>
      <c r="M14" t="inlineStr" s="4">
        <is>
          <t>TBD</t>
        </is>
      </c>
      <c r="N14" s="5">
        <f>F14*'00_Assumptions'!$C$22+I14*'00_Assumptions'!$C$23+('00_Assumptions'!$C$5-L14)*'00_Assumptions'!$C$24</f>
      </c>
      <c r="O14" t="inlineStr" s="6">
        <is>
          <t>待设计：填入本等级的成长或技能强化。</t>
        </is>
      </c>
    </row>
    <row r="15">
      <c r="A15" t="inlineStr" s="0">
        <is>
          <t>mage</t>
        </is>
      </c>
      <c r="B15" t="inlineStr" s="0">
        <is>
          <t>魔法使い</t>
        </is>
      </c>
      <c r="C15" s="8">
        <v>1</v>
      </c>
      <c r="D15" s="5">
        <f>VLOOKUP(A15,'01_Hero_Base'!$A$5:$N$12,6,FALSE)</f>
      </c>
      <c r="E15" s="4">
        <v>0</v>
      </c>
      <c r="F15" s="5">
        <f>D15+IF(E15="",0,E15)</f>
      </c>
      <c r="G15" s="5">
        <f>VLOOKUP(A15,'01_Hero_Base'!$A$5:$N$12,7,FALSE)</f>
      </c>
      <c r="H15" s="4">
        <v>0</v>
      </c>
      <c r="I15" s="5">
        <f>G15+IF(H15="",0,H15)</f>
      </c>
      <c r="J15" s="5">
        <f>VLOOKUP(A15,'01_Hero_Base'!$A$5:$N$12,5,FALSE)</f>
      </c>
      <c r="K15" s="4">
        <v>0</v>
      </c>
      <c r="L15" s="5">
        <f>MAX(1,J15+IF(K15="",0,K15))</f>
      </c>
      <c r="M15" s="4"/>
      <c r="N15" s="5">
        <f>F15*'00_Assumptions'!$C$22+I15*'00_Assumptions'!$C$23+('00_Assumptions'!$C$5-L15)*'00_Assumptions'!$C$24</f>
      </c>
      <c r="O15" t="inlineStr" s="6">
        <is>
          <t>现行基础值。</t>
        </is>
      </c>
    </row>
    <row r="16">
      <c r="A16" t="inlineStr" s="0">
        <is>
          <t>mage</t>
        </is>
      </c>
      <c r="B16" t="inlineStr" s="0">
        <is>
          <t>魔法使い</t>
        </is>
      </c>
      <c r="C16" s="8">
        <v>2</v>
      </c>
      <c r="D16" s="5">
        <f>VLOOKUP(A16,'01_Hero_Base'!$A$5:$N$12,6,FALSE)</f>
      </c>
      <c r="E16" s="4"/>
      <c r="F16" s="5">
        <f>D16+IF(E16="",0,E16)</f>
      </c>
      <c r="G16" s="5">
        <f>VLOOKUP(A16,'01_Hero_Base'!$A$5:$N$12,7,FALSE)</f>
      </c>
      <c r="H16" s="4"/>
      <c r="I16" s="5">
        <f>G16+IF(H16="",0,H16)</f>
      </c>
      <c r="J16" s="5">
        <f>VLOOKUP(A16,'01_Hero_Base'!$A$5:$N$12,5,FALSE)</f>
      </c>
      <c r="K16" s="4"/>
      <c r="L16" s="5">
        <f>MAX(1,J16+IF(K16="",0,K16))</f>
      </c>
      <c r="M16" t="inlineStr" s="4">
        <is>
          <t>TBD</t>
        </is>
      </c>
      <c r="N16" s="5">
        <f>F16*'00_Assumptions'!$C$22+I16*'00_Assumptions'!$C$23+('00_Assumptions'!$C$5-L16)*'00_Assumptions'!$C$24</f>
      </c>
      <c r="O16" t="inlineStr" s="6">
        <is>
          <t>待设计：填入本等级的成长或技能强化。</t>
        </is>
      </c>
    </row>
    <row r="17">
      <c r="A17" t="inlineStr" s="0">
        <is>
          <t>mage</t>
        </is>
      </c>
      <c r="B17" t="inlineStr" s="0">
        <is>
          <t>魔法使い</t>
        </is>
      </c>
      <c r="C17" s="8">
        <v>3</v>
      </c>
      <c r="D17" s="5">
        <f>VLOOKUP(A17,'01_Hero_Base'!$A$5:$N$12,6,FALSE)</f>
      </c>
      <c r="E17" s="4"/>
      <c r="F17" s="5">
        <f>D17+IF(E17="",0,E17)</f>
      </c>
      <c r="G17" s="5">
        <f>VLOOKUP(A17,'01_Hero_Base'!$A$5:$N$12,7,FALSE)</f>
      </c>
      <c r="H17" s="4"/>
      <c r="I17" s="5">
        <f>G17+IF(H17="",0,H17)</f>
      </c>
      <c r="J17" s="5">
        <f>VLOOKUP(A17,'01_Hero_Base'!$A$5:$N$12,5,FALSE)</f>
      </c>
      <c r="K17" s="4"/>
      <c r="L17" s="5">
        <f>MAX(1,J17+IF(K17="",0,K17))</f>
      </c>
      <c r="M17" t="inlineStr" s="4">
        <is>
          <t>TBD</t>
        </is>
      </c>
      <c r="N17" s="5">
        <f>F17*'00_Assumptions'!$C$22+I17*'00_Assumptions'!$C$23+('00_Assumptions'!$C$5-L17)*'00_Assumptions'!$C$24</f>
      </c>
      <c r="O17" t="inlineStr" s="6">
        <is>
          <t>待设计：填入本等级的成长或技能强化。</t>
        </is>
      </c>
    </row>
    <row r="18">
      <c r="A18" t="inlineStr" s="0">
        <is>
          <t>mage</t>
        </is>
      </c>
      <c r="B18" t="inlineStr" s="0">
        <is>
          <t>魔法使い</t>
        </is>
      </c>
      <c r="C18" s="8">
        <v>4</v>
      </c>
      <c r="D18" s="5">
        <f>VLOOKUP(A18,'01_Hero_Base'!$A$5:$N$12,6,FALSE)</f>
      </c>
      <c r="E18" s="4"/>
      <c r="F18" s="5">
        <f>D18+IF(E18="",0,E18)</f>
      </c>
      <c r="G18" s="5">
        <f>VLOOKUP(A18,'01_Hero_Base'!$A$5:$N$12,7,FALSE)</f>
      </c>
      <c r="H18" s="4"/>
      <c r="I18" s="5">
        <f>G18+IF(H18="",0,H18)</f>
      </c>
      <c r="J18" s="5">
        <f>VLOOKUP(A18,'01_Hero_Base'!$A$5:$N$12,5,FALSE)</f>
      </c>
      <c r="K18" s="4"/>
      <c r="L18" s="5">
        <f>MAX(1,J18+IF(K18="",0,K18))</f>
      </c>
      <c r="M18" t="inlineStr" s="4">
        <is>
          <t>TBD</t>
        </is>
      </c>
      <c r="N18" s="5">
        <f>F18*'00_Assumptions'!$C$22+I18*'00_Assumptions'!$C$23+('00_Assumptions'!$C$5-L18)*'00_Assumptions'!$C$24</f>
      </c>
      <c r="O18" t="inlineStr" s="6">
        <is>
          <t>待设计：填入本等级的成长或技能强化。</t>
        </is>
      </c>
    </row>
    <row r="19">
      <c r="A19" t="inlineStr" s="0">
        <is>
          <t>mage</t>
        </is>
      </c>
      <c r="B19" t="inlineStr" s="0">
        <is>
          <t>魔法使い</t>
        </is>
      </c>
      <c r="C19" s="8">
        <v>5</v>
      </c>
      <c r="D19" s="5">
        <f>VLOOKUP(A19,'01_Hero_Base'!$A$5:$N$12,6,FALSE)</f>
      </c>
      <c r="E19" s="4"/>
      <c r="F19" s="5">
        <f>D19+IF(E19="",0,E19)</f>
      </c>
      <c r="G19" s="5">
        <f>VLOOKUP(A19,'01_Hero_Base'!$A$5:$N$12,7,FALSE)</f>
      </c>
      <c r="H19" s="4"/>
      <c r="I19" s="5">
        <f>G19+IF(H19="",0,H19)</f>
      </c>
      <c r="J19" s="5">
        <f>VLOOKUP(A19,'01_Hero_Base'!$A$5:$N$12,5,FALSE)</f>
      </c>
      <c r="K19" s="4"/>
      <c r="L19" s="5">
        <f>MAX(1,J19+IF(K19="",0,K19))</f>
      </c>
      <c r="M19" t="inlineStr" s="4">
        <is>
          <t>TBD</t>
        </is>
      </c>
      <c r="N19" s="5">
        <f>F19*'00_Assumptions'!$C$22+I19*'00_Assumptions'!$C$23+('00_Assumptions'!$C$5-L19)*'00_Assumptions'!$C$24</f>
      </c>
      <c r="O19" t="inlineStr" s="6">
        <is>
          <t>待设计：填入本等级的成长或技能强化。</t>
        </is>
      </c>
    </row>
    <row r="20">
      <c r="A20" t="inlineStr" s="0">
        <is>
          <t>oracle</t>
        </is>
      </c>
      <c r="B20" t="inlineStr" s="0">
        <is>
          <t>占い師</t>
        </is>
      </c>
      <c r="C20" s="8">
        <v>1</v>
      </c>
      <c r="D20" s="5">
        <f>VLOOKUP(A20,'01_Hero_Base'!$A$5:$N$12,6,FALSE)</f>
      </c>
      <c r="E20" s="4">
        <v>0</v>
      </c>
      <c r="F20" s="5">
        <f>D20+IF(E20="",0,E20)</f>
      </c>
      <c r="G20" s="5">
        <f>VLOOKUP(A20,'01_Hero_Base'!$A$5:$N$12,7,FALSE)</f>
      </c>
      <c r="H20" s="4">
        <v>0</v>
      </c>
      <c r="I20" s="5">
        <f>G20+IF(H20="",0,H20)</f>
      </c>
      <c r="J20" s="5">
        <f>VLOOKUP(A20,'01_Hero_Base'!$A$5:$N$12,5,FALSE)</f>
      </c>
      <c r="K20" s="4">
        <v>0</v>
      </c>
      <c r="L20" s="5">
        <f>MAX(1,J20+IF(K20="",0,K20))</f>
      </c>
      <c r="M20" s="4"/>
      <c r="N20" s="5">
        <f>F20*'00_Assumptions'!$C$22+I20*'00_Assumptions'!$C$23+('00_Assumptions'!$C$5-L20)*'00_Assumptions'!$C$24</f>
      </c>
      <c r="O20" t="inlineStr" s="6">
        <is>
          <t>现行基础值。</t>
        </is>
      </c>
    </row>
    <row r="21">
      <c r="A21" t="inlineStr" s="0">
        <is>
          <t>oracle</t>
        </is>
      </c>
      <c r="B21" t="inlineStr" s="0">
        <is>
          <t>占い師</t>
        </is>
      </c>
      <c r="C21" s="8">
        <v>2</v>
      </c>
      <c r="D21" s="5">
        <f>VLOOKUP(A21,'01_Hero_Base'!$A$5:$N$12,6,FALSE)</f>
      </c>
      <c r="E21" s="4"/>
      <c r="F21" s="5">
        <f>D21+IF(E21="",0,E21)</f>
      </c>
      <c r="G21" s="5">
        <f>VLOOKUP(A21,'01_Hero_Base'!$A$5:$N$12,7,FALSE)</f>
      </c>
      <c r="H21" s="4"/>
      <c r="I21" s="5">
        <f>G21+IF(H21="",0,H21)</f>
      </c>
      <c r="J21" s="5">
        <f>VLOOKUP(A21,'01_Hero_Base'!$A$5:$N$12,5,FALSE)</f>
      </c>
      <c r="K21" s="4"/>
      <c r="L21" s="5">
        <f>MAX(1,J21+IF(K21="",0,K21))</f>
      </c>
      <c r="M21" t="inlineStr" s="4">
        <is>
          <t>TBD</t>
        </is>
      </c>
      <c r="N21" s="5">
        <f>F21*'00_Assumptions'!$C$22+I21*'00_Assumptions'!$C$23+('00_Assumptions'!$C$5-L21)*'00_Assumptions'!$C$24</f>
      </c>
      <c r="O21" t="inlineStr" s="6">
        <is>
          <t>待设计：填入本等级的成长或技能强化。</t>
        </is>
      </c>
    </row>
    <row r="22">
      <c r="A22" t="inlineStr" s="0">
        <is>
          <t>oracle</t>
        </is>
      </c>
      <c r="B22" t="inlineStr" s="0">
        <is>
          <t>占い師</t>
        </is>
      </c>
      <c r="C22" s="8">
        <v>3</v>
      </c>
      <c r="D22" s="5">
        <f>VLOOKUP(A22,'01_Hero_Base'!$A$5:$N$12,6,FALSE)</f>
      </c>
      <c r="E22" s="4"/>
      <c r="F22" s="5">
        <f>D22+IF(E22="",0,E22)</f>
      </c>
      <c r="G22" s="5">
        <f>VLOOKUP(A22,'01_Hero_Base'!$A$5:$N$12,7,FALSE)</f>
      </c>
      <c r="H22" s="4"/>
      <c r="I22" s="5">
        <f>G22+IF(H22="",0,H22)</f>
      </c>
      <c r="J22" s="5">
        <f>VLOOKUP(A22,'01_Hero_Base'!$A$5:$N$12,5,FALSE)</f>
      </c>
      <c r="K22" s="4"/>
      <c r="L22" s="5">
        <f>MAX(1,J22+IF(K22="",0,K22))</f>
      </c>
      <c r="M22" t="inlineStr" s="4">
        <is>
          <t>TBD</t>
        </is>
      </c>
      <c r="N22" s="5">
        <f>F22*'00_Assumptions'!$C$22+I22*'00_Assumptions'!$C$23+('00_Assumptions'!$C$5-L22)*'00_Assumptions'!$C$24</f>
      </c>
      <c r="O22" t="inlineStr" s="6">
        <is>
          <t>待设计：填入本等级的成长或技能强化。</t>
        </is>
      </c>
    </row>
    <row r="23">
      <c r="A23" t="inlineStr" s="0">
        <is>
          <t>oracle</t>
        </is>
      </c>
      <c r="B23" t="inlineStr" s="0">
        <is>
          <t>占い師</t>
        </is>
      </c>
      <c r="C23" s="8">
        <v>4</v>
      </c>
      <c r="D23" s="5">
        <f>VLOOKUP(A23,'01_Hero_Base'!$A$5:$N$12,6,FALSE)</f>
      </c>
      <c r="E23" s="4"/>
      <c r="F23" s="5">
        <f>D23+IF(E23="",0,E23)</f>
      </c>
      <c r="G23" s="5">
        <f>VLOOKUP(A23,'01_Hero_Base'!$A$5:$N$12,7,FALSE)</f>
      </c>
      <c r="H23" s="4"/>
      <c r="I23" s="5">
        <f>G23+IF(H23="",0,H23)</f>
      </c>
      <c r="J23" s="5">
        <f>VLOOKUP(A23,'01_Hero_Base'!$A$5:$N$12,5,FALSE)</f>
      </c>
      <c r="K23" s="4"/>
      <c r="L23" s="5">
        <f>MAX(1,J23+IF(K23="",0,K23))</f>
      </c>
      <c r="M23" t="inlineStr" s="4">
        <is>
          <t>TBD</t>
        </is>
      </c>
      <c r="N23" s="5">
        <f>F23*'00_Assumptions'!$C$22+I23*'00_Assumptions'!$C$23+('00_Assumptions'!$C$5-L23)*'00_Assumptions'!$C$24</f>
      </c>
      <c r="O23" t="inlineStr" s="6">
        <is>
          <t>待设计：填入本等级的成长或技能强化。</t>
        </is>
      </c>
    </row>
    <row r="24">
      <c r="A24" t="inlineStr" s="0">
        <is>
          <t>oracle</t>
        </is>
      </c>
      <c r="B24" t="inlineStr" s="0">
        <is>
          <t>占い師</t>
        </is>
      </c>
      <c r="C24" s="8">
        <v>5</v>
      </c>
      <c r="D24" s="5">
        <f>VLOOKUP(A24,'01_Hero_Base'!$A$5:$N$12,6,FALSE)</f>
      </c>
      <c r="E24" s="4"/>
      <c r="F24" s="5">
        <f>D24+IF(E24="",0,E24)</f>
      </c>
      <c r="G24" s="5">
        <f>VLOOKUP(A24,'01_Hero_Base'!$A$5:$N$12,7,FALSE)</f>
      </c>
      <c r="H24" s="4"/>
      <c r="I24" s="5">
        <f>G24+IF(H24="",0,H24)</f>
      </c>
      <c r="J24" s="5">
        <f>VLOOKUP(A24,'01_Hero_Base'!$A$5:$N$12,5,FALSE)</f>
      </c>
      <c r="K24" s="4"/>
      <c r="L24" s="5">
        <f>MAX(1,J24+IF(K24="",0,K24))</f>
      </c>
      <c r="M24" t="inlineStr" s="4">
        <is>
          <t>TBD</t>
        </is>
      </c>
      <c r="N24" s="5">
        <f>F24*'00_Assumptions'!$C$22+I24*'00_Assumptions'!$C$23+('00_Assumptions'!$C$5-L24)*'00_Assumptions'!$C$24</f>
      </c>
      <c r="O24" t="inlineStr" s="6">
        <is>
          <t>待设计：填入本等级的成长或技能强化。</t>
        </is>
      </c>
    </row>
    <row r="25">
      <c r="A25" t="inlineStr" s="0">
        <is>
          <t>knight</t>
        </is>
      </c>
      <c r="B25" t="inlineStr" s="0">
        <is>
          <t>騎士</t>
        </is>
      </c>
      <c r="C25" s="8">
        <v>1</v>
      </c>
      <c r="D25" s="5">
        <f>VLOOKUP(A25,'01_Hero_Base'!$A$5:$N$12,6,FALSE)</f>
      </c>
      <c r="E25" s="4">
        <v>0</v>
      </c>
      <c r="F25" s="5">
        <f>D25+IF(E25="",0,E25)</f>
      </c>
      <c r="G25" s="5">
        <f>VLOOKUP(A25,'01_Hero_Base'!$A$5:$N$12,7,FALSE)</f>
      </c>
      <c r="H25" s="4">
        <v>0</v>
      </c>
      <c r="I25" s="5">
        <f>G25+IF(H25="",0,H25)</f>
      </c>
      <c r="J25" s="5">
        <f>VLOOKUP(A25,'01_Hero_Base'!$A$5:$N$12,5,FALSE)</f>
      </c>
      <c r="K25" s="4">
        <v>0</v>
      </c>
      <c r="L25" s="5">
        <f>MAX(1,J25+IF(K25="",0,K25))</f>
      </c>
      <c r="M25" s="4"/>
      <c r="N25" s="5">
        <f>F25*'00_Assumptions'!$C$22+I25*'00_Assumptions'!$C$23+('00_Assumptions'!$C$5-L25)*'00_Assumptions'!$C$24</f>
      </c>
      <c r="O25" t="inlineStr" s="6">
        <is>
          <t>现行基础值。</t>
        </is>
      </c>
    </row>
    <row r="26">
      <c r="A26" t="inlineStr" s="0">
        <is>
          <t>knight</t>
        </is>
      </c>
      <c r="B26" t="inlineStr" s="0">
        <is>
          <t>騎士</t>
        </is>
      </c>
      <c r="C26" s="8">
        <v>2</v>
      </c>
      <c r="D26" s="5">
        <f>VLOOKUP(A26,'01_Hero_Base'!$A$5:$N$12,6,FALSE)</f>
      </c>
      <c r="E26" s="4"/>
      <c r="F26" s="5">
        <f>D26+IF(E26="",0,E26)</f>
      </c>
      <c r="G26" s="5">
        <f>VLOOKUP(A26,'01_Hero_Base'!$A$5:$N$12,7,FALSE)</f>
      </c>
      <c r="H26" s="4"/>
      <c r="I26" s="5">
        <f>G26+IF(H26="",0,H26)</f>
      </c>
      <c r="J26" s="5">
        <f>VLOOKUP(A26,'01_Hero_Base'!$A$5:$N$12,5,FALSE)</f>
      </c>
      <c r="K26" s="4"/>
      <c r="L26" s="5">
        <f>MAX(1,J26+IF(K26="",0,K26))</f>
      </c>
      <c r="M26" t="inlineStr" s="4">
        <is>
          <t>TBD</t>
        </is>
      </c>
      <c r="N26" s="5">
        <f>F26*'00_Assumptions'!$C$22+I26*'00_Assumptions'!$C$23+('00_Assumptions'!$C$5-L26)*'00_Assumptions'!$C$24</f>
      </c>
      <c r="O26" t="inlineStr" s="6">
        <is>
          <t>待设计：填入本等级的成长或技能强化。</t>
        </is>
      </c>
    </row>
    <row r="27">
      <c r="A27" t="inlineStr" s="0">
        <is>
          <t>knight</t>
        </is>
      </c>
      <c r="B27" t="inlineStr" s="0">
        <is>
          <t>騎士</t>
        </is>
      </c>
      <c r="C27" s="8">
        <v>3</v>
      </c>
      <c r="D27" s="5">
        <f>VLOOKUP(A27,'01_Hero_Base'!$A$5:$N$12,6,FALSE)</f>
      </c>
      <c r="E27" s="4"/>
      <c r="F27" s="5">
        <f>D27+IF(E27="",0,E27)</f>
      </c>
      <c r="G27" s="5">
        <f>VLOOKUP(A27,'01_Hero_Base'!$A$5:$N$12,7,FALSE)</f>
      </c>
      <c r="H27" s="4"/>
      <c r="I27" s="5">
        <f>G27+IF(H27="",0,H27)</f>
      </c>
      <c r="J27" s="5">
        <f>VLOOKUP(A27,'01_Hero_Base'!$A$5:$N$12,5,FALSE)</f>
      </c>
      <c r="K27" s="4"/>
      <c r="L27" s="5">
        <f>MAX(1,J27+IF(K27="",0,K27))</f>
      </c>
      <c r="M27" t="inlineStr" s="4">
        <is>
          <t>TBD</t>
        </is>
      </c>
      <c r="N27" s="5">
        <f>F27*'00_Assumptions'!$C$22+I27*'00_Assumptions'!$C$23+('00_Assumptions'!$C$5-L27)*'00_Assumptions'!$C$24</f>
      </c>
      <c r="O27" t="inlineStr" s="6">
        <is>
          <t>待设计：填入本等级的成长或技能强化。</t>
        </is>
      </c>
    </row>
    <row r="28">
      <c r="A28" t="inlineStr" s="0">
        <is>
          <t>knight</t>
        </is>
      </c>
      <c r="B28" t="inlineStr" s="0">
        <is>
          <t>騎士</t>
        </is>
      </c>
      <c r="C28" s="8">
        <v>4</v>
      </c>
      <c r="D28" s="5">
        <f>VLOOKUP(A28,'01_Hero_Base'!$A$5:$N$12,6,FALSE)</f>
      </c>
      <c r="E28" s="4"/>
      <c r="F28" s="5">
        <f>D28+IF(E28="",0,E28)</f>
      </c>
      <c r="G28" s="5">
        <f>VLOOKUP(A28,'01_Hero_Base'!$A$5:$N$12,7,FALSE)</f>
      </c>
      <c r="H28" s="4"/>
      <c r="I28" s="5">
        <f>G28+IF(H28="",0,H28)</f>
      </c>
      <c r="J28" s="5">
        <f>VLOOKUP(A28,'01_Hero_Base'!$A$5:$N$12,5,FALSE)</f>
      </c>
      <c r="K28" s="4"/>
      <c r="L28" s="5">
        <f>MAX(1,J28+IF(K28="",0,K28))</f>
      </c>
      <c r="M28" t="inlineStr" s="4">
        <is>
          <t>TBD</t>
        </is>
      </c>
      <c r="N28" s="5">
        <f>F28*'00_Assumptions'!$C$22+I28*'00_Assumptions'!$C$23+('00_Assumptions'!$C$5-L28)*'00_Assumptions'!$C$24</f>
      </c>
      <c r="O28" t="inlineStr" s="6">
        <is>
          <t>待设计：填入本等级的成长或技能强化。</t>
        </is>
      </c>
    </row>
    <row r="29">
      <c r="A29" t="inlineStr" s="0">
        <is>
          <t>knight</t>
        </is>
      </c>
      <c r="B29" t="inlineStr" s="0">
        <is>
          <t>騎士</t>
        </is>
      </c>
      <c r="C29" s="8">
        <v>5</v>
      </c>
      <c r="D29" s="5">
        <f>VLOOKUP(A29,'01_Hero_Base'!$A$5:$N$12,6,FALSE)</f>
      </c>
      <c r="E29" s="4"/>
      <c r="F29" s="5">
        <f>D29+IF(E29="",0,E29)</f>
      </c>
      <c r="G29" s="5">
        <f>VLOOKUP(A29,'01_Hero_Base'!$A$5:$N$12,7,FALSE)</f>
      </c>
      <c r="H29" s="4"/>
      <c r="I29" s="5">
        <f>G29+IF(H29="",0,H29)</f>
      </c>
      <c r="J29" s="5">
        <f>VLOOKUP(A29,'01_Hero_Base'!$A$5:$N$12,5,FALSE)</f>
      </c>
      <c r="K29" s="4"/>
      <c r="L29" s="5">
        <f>MAX(1,J29+IF(K29="",0,K29))</f>
      </c>
      <c r="M29" t="inlineStr" s="4">
        <is>
          <t>TBD</t>
        </is>
      </c>
      <c r="N29" s="5">
        <f>F29*'00_Assumptions'!$C$22+I29*'00_Assumptions'!$C$23+('00_Assumptions'!$C$5-L29)*'00_Assumptions'!$C$24</f>
      </c>
      <c r="O29" t="inlineStr" s="6">
        <is>
          <t>待设计：填入本等级的成长或技能强化。</t>
        </is>
      </c>
    </row>
    <row r="30">
      <c r="A30" t="inlineStr" s="0">
        <is>
          <t>druid</t>
        </is>
      </c>
      <c r="B30" t="inlineStr" s="0">
        <is>
          <t>ドルイド</t>
        </is>
      </c>
      <c r="C30" s="8">
        <v>1</v>
      </c>
      <c r="D30" s="5">
        <f>VLOOKUP(A30,'01_Hero_Base'!$A$5:$N$12,6,FALSE)</f>
      </c>
      <c r="E30" s="4">
        <v>0</v>
      </c>
      <c r="F30" s="5">
        <f>D30+IF(E30="",0,E30)</f>
      </c>
      <c r="G30" s="5">
        <f>VLOOKUP(A30,'01_Hero_Base'!$A$5:$N$12,7,FALSE)</f>
      </c>
      <c r="H30" s="4">
        <v>0</v>
      </c>
      <c r="I30" s="5">
        <f>G30+IF(H30="",0,H30)</f>
      </c>
      <c r="J30" s="5">
        <f>VLOOKUP(A30,'01_Hero_Base'!$A$5:$N$12,5,FALSE)</f>
      </c>
      <c r="K30" s="4">
        <v>0</v>
      </c>
      <c r="L30" s="5">
        <f>MAX(1,J30+IF(K30="",0,K30))</f>
      </c>
      <c r="M30" s="4"/>
      <c r="N30" s="5">
        <f>F30*'00_Assumptions'!$C$22+I30*'00_Assumptions'!$C$23+('00_Assumptions'!$C$5-L30)*'00_Assumptions'!$C$24</f>
      </c>
      <c r="O30" t="inlineStr" s="6">
        <is>
          <t>现行基础值。</t>
        </is>
      </c>
    </row>
    <row r="31">
      <c r="A31" t="inlineStr" s="0">
        <is>
          <t>druid</t>
        </is>
      </c>
      <c r="B31" t="inlineStr" s="0">
        <is>
          <t>ドルイド</t>
        </is>
      </c>
      <c r="C31" s="8">
        <v>2</v>
      </c>
      <c r="D31" s="5">
        <f>VLOOKUP(A31,'01_Hero_Base'!$A$5:$N$12,6,FALSE)</f>
      </c>
      <c r="E31" s="4"/>
      <c r="F31" s="5">
        <f>D31+IF(E31="",0,E31)</f>
      </c>
      <c r="G31" s="5">
        <f>VLOOKUP(A31,'01_Hero_Base'!$A$5:$N$12,7,FALSE)</f>
      </c>
      <c r="H31" s="4"/>
      <c r="I31" s="5">
        <f>G31+IF(H31="",0,H31)</f>
      </c>
      <c r="J31" s="5">
        <f>VLOOKUP(A31,'01_Hero_Base'!$A$5:$N$12,5,FALSE)</f>
      </c>
      <c r="K31" s="4"/>
      <c r="L31" s="5">
        <f>MAX(1,J31+IF(K31="",0,K31))</f>
      </c>
      <c r="M31" t="inlineStr" s="4">
        <is>
          <t>TBD</t>
        </is>
      </c>
      <c r="N31" s="5">
        <f>F31*'00_Assumptions'!$C$22+I31*'00_Assumptions'!$C$23+('00_Assumptions'!$C$5-L31)*'00_Assumptions'!$C$24</f>
      </c>
      <c r="O31" t="inlineStr" s="6">
        <is>
          <t>待设计：填入本等级的成长或技能强化。</t>
        </is>
      </c>
    </row>
    <row r="32">
      <c r="A32" t="inlineStr" s="0">
        <is>
          <t>druid</t>
        </is>
      </c>
      <c r="B32" t="inlineStr" s="0">
        <is>
          <t>ドルイド</t>
        </is>
      </c>
      <c r="C32" s="8">
        <v>3</v>
      </c>
      <c r="D32" s="5">
        <f>VLOOKUP(A32,'01_Hero_Base'!$A$5:$N$12,6,FALSE)</f>
      </c>
      <c r="E32" s="4"/>
      <c r="F32" s="5">
        <f>D32+IF(E32="",0,E32)</f>
      </c>
      <c r="G32" s="5">
        <f>VLOOKUP(A32,'01_Hero_Base'!$A$5:$N$12,7,FALSE)</f>
      </c>
      <c r="H32" s="4"/>
      <c r="I32" s="5">
        <f>G32+IF(H32="",0,H32)</f>
      </c>
      <c r="J32" s="5">
        <f>VLOOKUP(A32,'01_Hero_Base'!$A$5:$N$12,5,FALSE)</f>
      </c>
      <c r="K32" s="4"/>
      <c r="L32" s="5">
        <f>MAX(1,J32+IF(K32="",0,K32))</f>
      </c>
      <c r="M32" t="inlineStr" s="4">
        <is>
          <t>TBD</t>
        </is>
      </c>
      <c r="N32" s="5">
        <f>F32*'00_Assumptions'!$C$22+I32*'00_Assumptions'!$C$23+('00_Assumptions'!$C$5-L32)*'00_Assumptions'!$C$24</f>
      </c>
      <c r="O32" t="inlineStr" s="6">
        <is>
          <t>待设计：填入本等级的成长或技能强化。</t>
        </is>
      </c>
    </row>
    <row r="33">
      <c r="A33" t="inlineStr" s="0">
        <is>
          <t>druid</t>
        </is>
      </c>
      <c r="B33" t="inlineStr" s="0">
        <is>
          <t>ドルイド</t>
        </is>
      </c>
      <c r="C33" s="8">
        <v>4</v>
      </c>
      <c r="D33" s="5">
        <f>VLOOKUP(A33,'01_Hero_Base'!$A$5:$N$12,6,FALSE)</f>
      </c>
      <c r="E33" s="4"/>
      <c r="F33" s="5">
        <f>D33+IF(E33="",0,E33)</f>
      </c>
      <c r="G33" s="5">
        <f>VLOOKUP(A33,'01_Hero_Base'!$A$5:$N$12,7,FALSE)</f>
      </c>
      <c r="H33" s="4"/>
      <c r="I33" s="5">
        <f>G33+IF(H33="",0,H33)</f>
      </c>
      <c r="J33" s="5">
        <f>VLOOKUP(A33,'01_Hero_Base'!$A$5:$N$12,5,FALSE)</f>
      </c>
      <c r="K33" s="4"/>
      <c r="L33" s="5">
        <f>MAX(1,J33+IF(K33="",0,K33))</f>
      </c>
      <c r="M33" t="inlineStr" s="4">
        <is>
          <t>TBD</t>
        </is>
      </c>
      <c r="N33" s="5">
        <f>F33*'00_Assumptions'!$C$22+I33*'00_Assumptions'!$C$23+('00_Assumptions'!$C$5-L33)*'00_Assumptions'!$C$24</f>
      </c>
      <c r="O33" t="inlineStr" s="6">
        <is>
          <t>待设计：填入本等级的成长或技能强化。</t>
        </is>
      </c>
    </row>
    <row r="34">
      <c r="A34" t="inlineStr" s="0">
        <is>
          <t>druid</t>
        </is>
      </c>
      <c r="B34" t="inlineStr" s="0">
        <is>
          <t>ドルイド</t>
        </is>
      </c>
      <c r="C34" s="8">
        <v>5</v>
      </c>
      <c r="D34" s="5">
        <f>VLOOKUP(A34,'01_Hero_Base'!$A$5:$N$12,6,FALSE)</f>
      </c>
      <c r="E34" s="4"/>
      <c r="F34" s="5">
        <f>D34+IF(E34="",0,E34)</f>
      </c>
      <c r="G34" s="5">
        <f>VLOOKUP(A34,'01_Hero_Base'!$A$5:$N$12,7,FALSE)</f>
      </c>
      <c r="H34" s="4"/>
      <c r="I34" s="5">
        <f>G34+IF(H34="",0,H34)</f>
      </c>
      <c r="J34" s="5">
        <f>VLOOKUP(A34,'01_Hero_Base'!$A$5:$N$12,5,FALSE)</f>
      </c>
      <c r="K34" s="4"/>
      <c r="L34" s="5">
        <f>MAX(1,J34+IF(K34="",0,K34))</f>
      </c>
      <c r="M34" t="inlineStr" s="4">
        <is>
          <t>TBD</t>
        </is>
      </c>
      <c r="N34" s="5">
        <f>F34*'00_Assumptions'!$C$22+I34*'00_Assumptions'!$C$23+('00_Assumptions'!$C$5-L34)*'00_Assumptions'!$C$24</f>
      </c>
      <c r="O34" t="inlineStr" s="6">
        <is>
          <t>待设计：填入本等级的成长或技能强化。</t>
        </is>
      </c>
    </row>
    <row r="35">
      <c r="A35" t="inlineStr" s="0">
        <is>
          <t>barbarian</t>
        </is>
      </c>
      <c r="B35" t="inlineStr" s="0">
        <is>
          <t>バーバリアン</t>
        </is>
      </c>
      <c r="C35" s="8">
        <v>1</v>
      </c>
      <c r="D35" s="5">
        <f>VLOOKUP(A35,'01_Hero_Base'!$A$5:$N$12,6,FALSE)</f>
      </c>
      <c r="E35" s="4">
        <v>0</v>
      </c>
      <c r="F35" s="5">
        <f>D35+IF(E35="",0,E35)</f>
      </c>
      <c r="G35" s="5">
        <f>VLOOKUP(A35,'01_Hero_Base'!$A$5:$N$12,7,FALSE)</f>
      </c>
      <c r="H35" s="4">
        <v>0</v>
      </c>
      <c r="I35" s="5">
        <f>G35+IF(H35="",0,H35)</f>
      </c>
      <c r="J35" s="5">
        <f>VLOOKUP(A35,'01_Hero_Base'!$A$5:$N$12,5,FALSE)</f>
      </c>
      <c r="K35" s="4">
        <v>0</v>
      </c>
      <c r="L35" s="5">
        <f>MAX(1,J35+IF(K35="",0,K35))</f>
      </c>
      <c r="M35" s="4"/>
      <c r="N35" s="5">
        <f>F35*'00_Assumptions'!$C$22+I35*'00_Assumptions'!$C$23+('00_Assumptions'!$C$5-L35)*'00_Assumptions'!$C$24</f>
      </c>
      <c r="O35" t="inlineStr" s="6">
        <is>
          <t>现行基础值。</t>
        </is>
      </c>
    </row>
    <row r="36">
      <c r="A36" t="inlineStr" s="0">
        <is>
          <t>barbarian</t>
        </is>
      </c>
      <c r="B36" t="inlineStr" s="0">
        <is>
          <t>バーバリアン</t>
        </is>
      </c>
      <c r="C36" s="8">
        <v>2</v>
      </c>
      <c r="D36" s="5">
        <f>VLOOKUP(A36,'01_Hero_Base'!$A$5:$N$12,6,FALSE)</f>
      </c>
      <c r="E36" s="4"/>
      <c r="F36" s="5">
        <f>D36+IF(E36="",0,E36)</f>
      </c>
      <c r="G36" s="5">
        <f>VLOOKUP(A36,'01_Hero_Base'!$A$5:$N$12,7,FALSE)</f>
      </c>
      <c r="H36" s="4"/>
      <c r="I36" s="5">
        <f>G36+IF(H36="",0,H36)</f>
      </c>
      <c r="J36" s="5">
        <f>VLOOKUP(A36,'01_Hero_Base'!$A$5:$N$12,5,FALSE)</f>
      </c>
      <c r="K36" s="4"/>
      <c r="L36" s="5">
        <f>MAX(1,J36+IF(K36="",0,K36))</f>
      </c>
      <c r="M36" t="inlineStr" s="4">
        <is>
          <t>TBD</t>
        </is>
      </c>
      <c r="N36" s="5">
        <f>F36*'00_Assumptions'!$C$22+I36*'00_Assumptions'!$C$23+('00_Assumptions'!$C$5-L36)*'00_Assumptions'!$C$24</f>
      </c>
      <c r="O36" t="inlineStr" s="6">
        <is>
          <t>待设计：填入本等级的成长或技能强化。</t>
        </is>
      </c>
    </row>
    <row r="37">
      <c r="A37" t="inlineStr" s="0">
        <is>
          <t>barbarian</t>
        </is>
      </c>
      <c r="B37" t="inlineStr" s="0">
        <is>
          <t>バーバリアン</t>
        </is>
      </c>
      <c r="C37" s="8">
        <v>3</v>
      </c>
      <c r="D37" s="5">
        <f>VLOOKUP(A37,'01_Hero_Base'!$A$5:$N$12,6,FALSE)</f>
      </c>
      <c r="E37" s="4"/>
      <c r="F37" s="5">
        <f>D37+IF(E37="",0,E37)</f>
      </c>
      <c r="G37" s="5">
        <f>VLOOKUP(A37,'01_Hero_Base'!$A$5:$N$12,7,FALSE)</f>
      </c>
      <c r="H37" s="4"/>
      <c r="I37" s="5">
        <f>G37+IF(H37="",0,H37)</f>
      </c>
      <c r="J37" s="5">
        <f>VLOOKUP(A37,'01_Hero_Base'!$A$5:$N$12,5,FALSE)</f>
      </c>
      <c r="K37" s="4"/>
      <c r="L37" s="5">
        <f>MAX(1,J37+IF(K37="",0,K37))</f>
      </c>
      <c r="M37" t="inlineStr" s="4">
        <is>
          <t>TBD</t>
        </is>
      </c>
      <c r="N37" s="5">
        <f>F37*'00_Assumptions'!$C$22+I37*'00_Assumptions'!$C$23+('00_Assumptions'!$C$5-L37)*'00_Assumptions'!$C$24</f>
      </c>
      <c r="O37" t="inlineStr" s="6">
        <is>
          <t>待设计：填入本等级的成长或技能强化。</t>
        </is>
      </c>
    </row>
    <row r="38">
      <c r="A38" t="inlineStr" s="0">
        <is>
          <t>barbarian</t>
        </is>
      </c>
      <c r="B38" t="inlineStr" s="0">
        <is>
          <t>バーバリアン</t>
        </is>
      </c>
      <c r="C38" s="8">
        <v>4</v>
      </c>
      <c r="D38" s="5">
        <f>VLOOKUP(A38,'01_Hero_Base'!$A$5:$N$12,6,FALSE)</f>
      </c>
      <c r="E38" s="4"/>
      <c r="F38" s="5">
        <f>D38+IF(E38="",0,E38)</f>
      </c>
      <c r="G38" s="5">
        <f>VLOOKUP(A38,'01_Hero_Base'!$A$5:$N$12,7,FALSE)</f>
      </c>
      <c r="H38" s="4"/>
      <c r="I38" s="5">
        <f>G38+IF(H38="",0,H38)</f>
      </c>
      <c r="J38" s="5">
        <f>VLOOKUP(A38,'01_Hero_Base'!$A$5:$N$12,5,FALSE)</f>
      </c>
      <c r="K38" s="4"/>
      <c r="L38" s="5">
        <f>MAX(1,J38+IF(K38="",0,K38))</f>
      </c>
      <c r="M38" t="inlineStr" s="4">
        <is>
          <t>TBD</t>
        </is>
      </c>
      <c r="N38" s="5">
        <f>F38*'00_Assumptions'!$C$22+I38*'00_Assumptions'!$C$23+('00_Assumptions'!$C$5-L38)*'00_Assumptions'!$C$24</f>
      </c>
      <c r="O38" t="inlineStr" s="6">
        <is>
          <t>待设计：填入本等级的成长或技能强化。</t>
        </is>
      </c>
    </row>
    <row r="39">
      <c r="A39" t="inlineStr" s="0">
        <is>
          <t>barbarian</t>
        </is>
      </c>
      <c r="B39" t="inlineStr" s="0">
        <is>
          <t>バーバリアン</t>
        </is>
      </c>
      <c r="C39" s="8">
        <v>5</v>
      </c>
      <c r="D39" s="5">
        <f>VLOOKUP(A39,'01_Hero_Base'!$A$5:$N$12,6,FALSE)</f>
      </c>
      <c r="E39" s="4"/>
      <c r="F39" s="5">
        <f>D39+IF(E39="",0,E39)</f>
      </c>
      <c r="G39" s="5">
        <f>VLOOKUP(A39,'01_Hero_Base'!$A$5:$N$12,7,FALSE)</f>
      </c>
      <c r="H39" s="4"/>
      <c r="I39" s="5">
        <f>G39+IF(H39="",0,H39)</f>
      </c>
      <c r="J39" s="5">
        <f>VLOOKUP(A39,'01_Hero_Base'!$A$5:$N$12,5,FALSE)</f>
      </c>
      <c r="K39" s="4"/>
      <c r="L39" s="5">
        <f>MAX(1,J39+IF(K39="",0,K39))</f>
      </c>
      <c r="M39" t="inlineStr" s="4">
        <is>
          <t>TBD</t>
        </is>
      </c>
      <c r="N39" s="5">
        <f>F39*'00_Assumptions'!$C$22+I39*'00_Assumptions'!$C$23+('00_Assumptions'!$C$5-L39)*'00_Assumptions'!$C$24</f>
      </c>
      <c r="O39" t="inlineStr" s="6">
        <is>
          <t>待设计：填入本等级的成长或技能强化。</t>
        </is>
      </c>
    </row>
    <row r="40">
      <c r="A40" t="inlineStr" s="0">
        <is>
          <t>monster</t>
        </is>
      </c>
      <c r="B40" t="inlineStr" s="0">
        <is>
          <t>モンスター</t>
        </is>
      </c>
      <c r="C40" s="8">
        <v>1</v>
      </c>
      <c r="D40" s="5">
        <f>VLOOKUP(A40,'01_Hero_Base'!$A$5:$N$12,6,FALSE)</f>
      </c>
      <c r="E40" s="4">
        <v>0</v>
      </c>
      <c r="F40" s="5">
        <f>D40+IF(E40="",0,E40)</f>
      </c>
      <c r="G40" s="5">
        <f>VLOOKUP(A40,'01_Hero_Base'!$A$5:$N$12,7,FALSE)</f>
      </c>
      <c r="H40" s="4">
        <v>0</v>
      </c>
      <c r="I40" s="5">
        <f>G40+IF(H40="",0,H40)</f>
      </c>
      <c r="J40" s="5">
        <f>VLOOKUP(A40,'01_Hero_Base'!$A$5:$N$12,5,FALSE)</f>
      </c>
      <c r="K40" s="4">
        <v>0</v>
      </c>
      <c r="L40" s="5">
        <f>MAX(1,J40+IF(K40="",0,K40))</f>
      </c>
      <c r="M40" s="4"/>
      <c r="N40" s="5">
        <f>F40*'00_Assumptions'!$C$22+I40*'00_Assumptions'!$C$23+('00_Assumptions'!$C$5-L40)*'00_Assumptions'!$C$24</f>
      </c>
      <c r="O40" t="inlineStr" s="6">
        <is>
          <t>现行基础值。</t>
        </is>
      </c>
    </row>
    <row r="41">
      <c r="A41" t="inlineStr" s="0">
        <is>
          <t>monster</t>
        </is>
      </c>
      <c r="B41" t="inlineStr" s="0">
        <is>
          <t>モンスター</t>
        </is>
      </c>
      <c r="C41" s="8">
        <v>2</v>
      </c>
      <c r="D41" s="5">
        <f>VLOOKUP(A41,'01_Hero_Base'!$A$5:$N$12,6,FALSE)</f>
      </c>
      <c r="E41" s="4"/>
      <c r="F41" s="5">
        <f>D41+IF(E41="",0,E41)</f>
      </c>
      <c r="G41" s="5">
        <f>VLOOKUP(A41,'01_Hero_Base'!$A$5:$N$12,7,FALSE)</f>
      </c>
      <c r="H41" s="4"/>
      <c r="I41" s="5">
        <f>G41+IF(H41="",0,H41)</f>
      </c>
      <c r="J41" s="5">
        <f>VLOOKUP(A41,'01_Hero_Base'!$A$5:$N$12,5,FALSE)</f>
      </c>
      <c r="K41" s="4"/>
      <c r="L41" s="5">
        <f>MAX(1,J41+IF(K41="",0,K41))</f>
      </c>
      <c r="M41" t="inlineStr" s="4">
        <is>
          <t>TBD</t>
        </is>
      </c>
      <c r="N41" s="5">
        <f>F41*'00_Assumptions'!$C$22+I41*'00_Assumptions'!$C$23+('00_Assumptions'!$C$5-L41)*'00_Assumptions'!$C$24</f>
      </c>
      <c r="O41" t="inlineStr" s="6">
        <is>
          <t>待设计：填入本等级的成长或技能强化。</t>
        </is>
      </c>
    </row>
    <row r="42">
      <c r="A42" t="inlineStr" s="0">
        <is>
          <t>monster</t>
        </is>
      </c>
      <c r="B42" t="inlineStr" s="0">
        <is>
          <t>モンスター</t>
        </is>
      </c>
      <c r="C42" s="8">
        <v>3</v>
      </c>
      <c r="D42" s="5">
        <f>VLOOKUP(A42,'01_Hero_Base'!$A$5:$N$12,6,FALSE)</f>
      </c>
      <c r="E42" s="4"/>
      <c r="F42" s="5">
        <f>D42+IF(E42="",0,E42)</f>
      </c>
      <c r="G42" s="5">
        <f>VLOOKUP(A42,'01_Hero_Base'!$A$5:$N$12,7,FALSE)</f>
      </c>
      <c r="H42" s="4"/>
      <c r="I42" s="5">
        <f>G42+IF(H42="",0,H42)</f>
      </c>
      <c r="J42" s="5">
        <f>VLOOKUP(A42,'01_Hero_Base'!$A$5:$N$12,5,FALSE)</f>
      </c>
      <c r="K42" s="4"/>
      <c r="L42" s="5">
        <f>MAX(1,J42+IF(K42="",0,K42))</f>
      </c>
      <c r="M42" t="inlineStr" s="4">
        <is>
          <t>TBD</t>
        </is>
      </c>
      <c r="N42" s="5">
        <f>F42*'00_Assumptions'!$C$22+I42*'00_Assumptions'!$C$23+('00_Assumptions'!$C$5-L42)*'00_Assumptions'!$C$24</f>
      </c>
      <c r="O42" t="inlineStr" s="6">
        <is>
          <t>待设计：填入本等级的成长或技能强化。</t>
        </is>
      </c>
    </row>
    <row r="43">
      <c r="A43" t="inlineStr" s="0">
        <is>
          <t>monster</t>
        </is>
      </c>
      <c r="B43" t="inlineStr" s="0">
        <is>
          <t>モンスター</t>
        </is>
      </c>
      <c r="C43" s="8">
        <v>4</v>
      </c>
      <c r="D43" s="5">
        <f>VLOOKUP(A43,'01_Hero_Base'!$A$5:$N$12,6,FALSE)</f>
      </c>
      <c r="E43" s="4"/>
      <c r="F43" s="5">
        <f>D43+IF(E43="",0,E43)</f>
      </c>
      <c r="G43" s="5">
        <f>VLOOKUP(A43,'01_Hero_Base'!$A$5:$N$12,7,FALSE)</f>
      </c>
      <c r="H43" s="4"/>
      <c r="I43" s="5">
        <f>G43+IF(H43="",0,H43)</f>
      </c>
      <c r="J43" s="5">
        <f>VLOOKUP(A43,'01_Hero_Base'!$A$5:$N$12,5,FALSE)</f>
      </c>
      <c r="K43" s="4"/>
      <c r="L43" s="5">
        <f>MAX(1,J43+IF(K43="",0,K43))</f>
      </c>
      <c r="M43" t="inlineStr" s="4">
        <is>
          <t>TBD</t>
        </is>
      </c>
      <c r="N43" s="5">
        <f>F43*'00_Assumptions'!$C$22+I43*'00_Assumptions'!$C$23+('00_Assumptions'!$C$5-L43)*'00_Assumptions'!$C$24</f>
      </c>
      <c r="O43" t="inlineStr" s="6">
        <is>
          <t>待设计：填入本等级的成长或技能强化。</t>
        </is>
      </c>
    </row>
    <row r="44">
      <c r="A44" t="inlineStr" s="0">
        <is>
          <t>monster</t>
        </is>
      </c>
      <c r="B44" t="inlineStr" s="0">
        <is>
          <t>モンスター</t>
        </is>
      </c>
      <c r="C44" s="8">
        <v>5</v>
      </c>
      <c r="D44" s="5">
        <f>VLOOKUP(A44,'01_Hero_Base'!$A$5:$N$12,6,FALSE)</f>
      </c>
      <c r="E44" s="4"/>
      <c r="F44" s="5">
        <f>D44+IF(E44="",0,E44)</f>
      </c>
      <c r="G44" s="5">
        <f>VLOOKUP(A44,'01_Hero_Base'!$A$5:$N$12,7,FALSE)</f>
      </c>
      <c r="H44" s="4"/>
      <c r="I44" s="5">
        <f>G44+IF(H44="",0,H44)</f>
      </c>
      <c r="J44" s="5">
        <f>VLOOKUP(A44,'01_Hero_Base'!$A$5:$N$12,5,FALSE)</f>
      </c>
      <c r="K44" s="4"/>
      <c r="L44" s="5">
        <f>MAX(1,J44+IF(K44="",0,K44))</f>
      </c>
      <c r="M44" t="inlineStr" s="4">
        <is>
          <t>TBD</t>
        </is>
      </c>
      <c r="N44" s="5">
        <f>F44*'00_Assumptions'!$C$22+I44*'00_Assumptions'!$C$23+('00_Assumptions'!$C$5-L44)*'00_Assumptions'!$C$24</f>
      </c>
      <c r="O44" t="inlineStr" s="6">
        <is>
          <t>待设计：填入本等级的成长或技能强化。</t>
        </is>
      </c>
    </row>
  </sheetData>
  <autoFilter ref="A4:O44"/>
  <mergeCells count="2">
    <mergeCell ref="A1:O1"/>
    <mergeCell ref="A2:O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10"/>
  <sheetViews>
    <sheetView workbookViewId="0">
      <pane ySplit="4" topLeftCell="A5" activePane="bottomLeft" state="frozen"/>
      <selection pane="bottomLeft"/>
    </sheetView>
  </sheetViews>
  <cols>
    <col min="1" max="1" width="16" customWidth="1"/>
    <col min="2" max="2" width="26" customWidth="1"/>
    <col min="3" max="3" width="16" customWidth="1"/>
    <col min="4" max="4" width="14" customWidth="1"/>
    <col min="5" max="5" width="10" customWidth="1"/>
    <col min="6" max="6" width="10" customWidth="1"/>
    <col min="7" max="7" width="10" customWidth="1"/>
    <col min="8" max="8" width="26" customWidth="1"/>
    <col min="9" max="9" width="44" customWidth="1"/>
    <col min="10" max="10" width="34" customWidth="1"/>
    <col min="11" max="11" width="40" customWidth="1"/>
  </cols>
  <sheetData>
    <row r="1" ht="24" customHeight="1">
      <c r="A1" t="inlineStr" s="1">
        <is>
          <t>05 Soldier &amp; Lieutenant Draft — 士兵/副官草案</t>
        </is>
      </c>
    </row>
    <row r="2" ht="40" customHeight="1">
      <c r="A2" t="inlineStr" s="2">
        <is>
          <t>未来单机爬塔用的数值起点。当前对战模式未实装士兵和副官；不要把这里的草案当成正式规则。</t>
        </is>
      </c>
    </row>
    <row r="3"/>
    <row r="4" ht="34" customHeight="1">
      <c r="A4" t="inlineStr" s="3">
        <is>
          <t>Type</t>
        </is>
      </c>
      <c r="B4" t="inlineStr" s="3">
        <is>
          <t>ID</t>
        </is>
      </c>
      <c r="C4" t="inlineStr" s="3">
        <is>
          <t>名称草案</t>
        </is>
      </c>
      <c r="D4" t="inlineStr" s="3">
        <is>
          <t>稀有度/系统</t>
        </is>
      </c>
      <c r="E4" t="inlineStr" s="3">
        <is>
          <t>Cost</t>
        </is>
      </c>
      <c r="F4" t="inlineStr" s="3">
        <is>
          <t>ATK</t>
        </is>
      </c>
      <c r="G4" t="inlineStr" s="3">
        <is>
          <t>HP</t>
        </is>
      </c>
      <c r="H4" t="inlineStr" s="3">
        <is>
          <t>战斗标签/特性</t>
        </is>
      </c>
      <c r="I4" t="inlineStr" s="3">
        <is>
          <t>成为副官时效果草案</t>
        </is>
      </c>
      <c r="J4" t="inlineStr" s="3">
        <is>
          <t>成长曲线草案</t>
        </is>
      </c>
      <c r="K4" t="inlineStr" s="3">
        <is>
          <t>风险</t>
        </is>
      </c>
    </row>
    <row r="5" ht="50" customHeight="1">
      <c r="A5" t="inlineStr" s="0">
        <is>
          <t>Soldier</t>
        </is>
      </c>
      <c r="B5" t="inlineStr" s="0">
        <is>
          <t>soldier-swordsman</t>
        </is>
      </c>
      <c r="C5" t="inlineStr" s="0">
        <is>
          <t>剑兵</t>
        </is>
      </c>
      <c r="D5" t="inlineStr" s="0">
        <is>
          <t>Common</t>
        </is>
      </c>
      <c r="E5" s="4">
        <v>1</v>
      </c>
      <c r="F5" s="4">
        <v>2</v>
      </c>
      <c r="G5" s="4">
        <v>10</v>
      </c>
      <c r="H5" t="inlineStr" s="6">
        <is>
          <t>基础物理</t>
        </is>
      </c>
      <c r="I5" t="inlineStr" s="6">
        <is>
          <t>作为副官：所属英雄 ATK +1（草案）</t>
        </is>
      </c>
      <c r="J5" t="inlineStr" s="6">
        <is>
          <t>每级 HP +2 或 ATK/HP 交替</t>
        </is>
      </c>
      <c r="K5" t="inlineStr" s="6">
        <is>
          <t>可能稀释英雄存在感</t>
        </is>
      </c>
    </row>
    <row r="6" ht="50" customHeight="1">
      <c r="A6" t="inlineStr" s="0">
        <is>
          <t>Soldier</t>
        </is>
      </c>
      <c r="B6" t="inlineStr" s="0">
        <is>
          <t>soldier-spearman</t>
        </is>
      </c>
      <c r="C6" t="inlineStr" s="0">
        <is>
          <t>枪兵</t>
        </is>
      </c>
      <c r="D6" t="inlineStr" s="0">
        <is>
          <t>Common</t>
        </is>
      </c>
      <c r="E6" s="4">
        <v>1</v>
      </c>
      <c r="F6" s="4">
        <v>2</v>
      </c>
      <c r="G6" s="4">
        <v>9</v>
      </c>
      <c r="H6" t="inlineStr" s="6">
        <is>
          <t>对重甲/骑乘标签预留</t>
        </is>
      </c>
      <c r="I6" t="inlineStr" s="6">
        <is>
          <t>作为副官：对 Cost3 敌人伤害 +1（草案）</t>
        </is>
      </c>
      <c r="J6" t="inlineStr" s="6">
        <is>
          <t>偏输出成长</t>
        </is>
      </c>
      <c r="K6" t="inlineStr" s="6">
        <is>
          <t>条件克制不宜太窄</t>
        </is>
      </c>
    </row>
    <row r="7" ht="50" customHeight="1">
      <c r="A7" t="inlineStr" s="0">
        <is>
          <t>Soldier</t>
        </is>
      </c>
      <c r="B7" t="inlineStr" s="0">
        <is>
          <t>soldier-shieldbearer</t>
        </is>
      </c>
      <c r="C7" t="inlineStr" s="0">
        <is>
          <t>盾兵</t>
        </is>
      </c>
      <c r="D7" t="inlineStr" s="0">
        <is>
          <t>Common</t>
        </is>
      </c>
      <c r="E7" s="4">
        <v>1</v>
      </c>
      <c r="F7" s="4">
        <v>1</v>
      </c>
      <c r="G7" s="4">
        <v>14</v>
      </c>
      <c r="H7" t="inlineStr" s="6">
        <is>
          <t>高 HP 低攻击</t>
        </is>
      </c>
      <c r="I7" t="inlineStr" s="6">
        <is>
          <t>作为副官：首次受主动攻击伤害 -1（草案）</t>
        </is>
      </c>
      <c r="J7" t="inlineStr" s="6">
        <is>
          <t>偏 HP 成长</t>
        </is>
      </c>
      <c r="K7" t="inlineStr" s="6">
        <is>
          <t>会和骑士/盾系统叠加</t>
        </is>
      </c>
    </row>
    <row r="8" ht="50" customHeight="1">
      <c r="A8" t="inlineStr" s="0">
        <is>
          <t>Soldier</t>
        </is>
      </c>
      <c r="B8" t="inlineStr" s="0">
        <is>
          <t>soldier-acolyte</t>
        </is>
      </c>
      <c r="C8" t="inlineStr" s="0">
        <is>
          <t>僧兵</t>
        </is>
      </c>
      <c r="D8" t="inlineStr" s="0">
        <is>
          <t>Common</t>
        </is>
      </c>
      <c r="E8" s="4">
        <v>1</v>
      </c>
      <c r="F8" s="4">
        <v>1</v>
      </c>
      <c r="G8" s="4">
        <v>9</v>
      </c>
      <c r="H8" t="inlineStr" s="6">
        <is>
          <t>轻量治疗标签</t>
        </is>
      </c>
      <c r="I8" t="inlineStr" s="6">
        <is>
          <t>作为副官：回合开始小概率回复 1（草案）</t>
        </is>
      </c>
      <c r="J8" t="inlineStr" s="6">
        <is>
          <t>技能/特性谨慎成长</t>
        </is>
      </c>
      <c r="K8" t="inlineStr" s="6">
        <is>
          <t>过多治疗会拖局</t>
        </is>
      </c>
    </row>
    <row r="9" ht="50" customHeight="1">
      <c r="A9" t="inlineStr" s="0">
        <is>
          <t>Soldier</t>
        </is>
      </c>
      <c r="B9" t="inlineStr" s="0">
        <is>
          <t>soldier-archer</t>
        </is>
      </c>
      <c r="C9" t="inlineStr" s="0">
        <is>
          <t>弓兵</t>
        </is>
      </c>
      <c r="D9" t="inlineStr" s="0">
        <is>
          <t>Common</t>
        </is>
      </c>
      <c r="E9" s="4">
        <v>1</v>
      </c>
      <c r="F9" s="4">
        <v>2</v>
      </c>
      <c r="G9" s="4">
        <v>8</v>
      </c>
      <c r="H9" t="inlineStr" s="6">
        <is>
          <t>远程标签预留</t>
        </is>
      </c>
      <c r="I9" t="inlineStr" s="6">
        <is>
          <t>作为副官：主动攻击目标不相邻时 +1（草案）</t>
        </is>
      </c>
      <c r="J9" t="inlineStr" s="6">
        <is>
          <t>偏 ATK 成长</t>
        </is>
      </c>
      <c r="K9" t="inlineStr" s="6">
        <is>
          <t>需要站位规则成熟后再定</t>
        </is>
      </c>
    </row>
    <row r="10" ht="50" customHeight="1">
      <c r="A10" t="inlineStr" s="0">
        <is>
          <t>Lieutenant Slot</t>
        </is>
      </c>
      <c r="B10" t="inlineStr" s="0">
        <is>
          <t>hero-lieutenant-slot</t>
        </is>
      </c>
      <c r="C10" t="inlineStr" s="0">
        <is>
          <t>副官栏位</t>
        </is>
      </c>
      <c r="D10" t="inlineStr" s="0">
        <is>
          <t>System</t>
        </is>
      </c>
      <c r="E10" s="4"/>
      <c r="F10" s="4"/>
      <c r="G10" s="4"/>
      <c r="H10" t="inlineStr" s="6">
        <is>
          <t>未来每名英雄可拥有副官栏</t>
        </is>
      </c>
      <c r="I10" t="inlineStr" s="6">
        <is>
          <t>永久/局内栏位变化都应走统一 modifier</t>
        </is>
      </c>
      <c r="J10" t="inlineStr" s="6">
        <is>
          <t>永久成长需独立于单场战斗状态</t>
        </is>
      </c>
      <c r="K10" t="inlineStr" s="6">
        <is>
          <t>避免把副官写死到英雄类</t>
        </is>
      </c>
    </row>
  </sheetData>
  <autoFilter ref="A4:K10"/>
  <mergeCells count="2">
    <mergeCell ref="A1:K1"/>
    <mergeCell ref="A2:K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N29"/>
  <sheetViews>
    <sheetView workbookViewId="0">
      <pane ySplit="4" topLeftCell="A5" activePane="bottomLeft" state="frozen"/>
      <selection pane="bottomLeft"/>
    </sheetView>
  </sheetViews>
  <cols>
    <col min="1" max="1" width="13" customWidth="1"/>
    <col min="2" max="2" width="18" customWidth="1"/>
    <col min="3" max="3" width="14" customWidth="1"/>
    <col min="4" max="4" width="18" customWidth="1"/>
    <col min="5" max="5" width="12" customWidth="1"/>
    <col min="6" max="6" width="28" customWidth="1"/>
    <col min="7" max="7" width="28" customWidth="1"/>
    <col min="8" max="8" width="14" customWidth="1"/>
    <col min="9" max="9" width="14" customWidth="1"/>
    <col min="10" max="10" width="16" customWidth="1"/>
    <col min="11" max="11" width="48" customWidth="1"/>
    <col min="12" max="12" width="48" customWidth="1"/>
    <col min="13" max="13" width="18" customWidth="1"/>
    <col min="14" max="14" width="18" customWidth="1"/>
  </cols>
  <sheetData>
    <row r="1" ht="24" customHeight="1">
      <c r="A1" t="inlineStr" s="1">
        <is>
          <t>06 Playtest Log — 测试记录</t>
        </is>
      </c>
    </row>
    <row r="2" ht="40" customHeight="1">
      <c r="A2" t="inlineStr" s="2">
        <is>
          <t>每次测试后回填真实表现。数值表只负责提出假设，playtest 才决定改不改。</t>
        </is>
      </c>
    </row>
    <row r="3"/>
    <row r="4" ht="32" customHeight="1">
      <c r="A4" t="inlineStr" s="3">
        <is>
          <t>Date</t>
        </is>
      </c>
      <c r="B4" t="inlineStr" s="3">
        <is>
          <t>Build/Version</t>
        </is>
      </c>
      <c r="C4" t="inlineStr" s="3">
        <is>
          <t>Mode</t>
        </is>
      </c>
      <c r="D4" t="inlineStr" s="3">
        <is>
          <t>Players</t>
        </is>
      </c>
      <c r="E4" t="inlineStr" s="3">
        <is>
          <t>Duration</t>
        </is>
      </c>
      <c r="F4" t="inlineStr" s="3">
        <is>
          <t>Team A</t>
        </is>
      </c>
      <c r="G4" t="inlineStr" s="3">
        <is>
          <t>Team B</t>
        </is>
      </c>
      <c r="H4" t="inlineStr" s="3">
        <is>
          <t>Winner</t>
        </is>
      </c>
      <c r="I4" t="inlineStr" s="3">
        <is>
          <t>First Player</t>
        </is>
      </c>
      <c r="J4" t="inlineStr" s="3">
        <is>
          <t>Issue Tag</t>
        </is>
      </c>
      <c r="K4" t="inlineStr" s="3">
        <is>
          <t>Observation</t>
        </is>
      </c>
      <c r="L4" t="inlineStr" s="3">
        <is>
          <t>Suggested Change</t>
        </is>
      </c>
      <c r="M4" t="inlineStr" s="3">
        <is>
          <t>Decision</t>
        </is>
      </c>
      <c r="N4" t="inlineStr" s="3">
        <is>
          <t>Follow-up</t>
        </is>
      </c>
    </row>
    <row r="5" ht="44" customHeight="1">
      <c r="A5" t="inlineStr" s="10">
        <is>
          <t>2026-06-27</t>
        </is>
      </c>
      <c r="B5" t="inlineStr" s="0">
        <is>
          <t>Balance workbook v0.1</t>
        </is>
      </c>
      <c r="C5" t="inlineStr" s="0">
        <is>
          <t>template</t>
        </is>
      </c>
      <c r="D5" s="0"/>
      <c r="E5" s="0"/>
      <c r="F5" s="6"/>
      <c r="G5" s="6"/>
      <c r="H5" s="0"/>
      <c r="I5" s="0"/>
      <c r="J5" t="inlineStr" s="0">
        <is>
          <t>setup</t>
        </is>
      </c>
      <c r="K5" t="inlineStr" s="6">
        <is>
          <t>建立第一版拉表骨架。</t>
        </is>
      </c>
      <c r="L5" t="inlineStr" s="6">
        <is>
          <t>后续 playtest 后回填。</t>
        </is>
      </c>
      <c r="M5" t="inlineStr" s="0">
        <is>
          <t>open</t>
        </is>
      </c>
      <c r="N5" s="0"/>
    </row>
    <row r="6">
      <c r="A6" s="0"/>
      <c r="B6" s="0"/>
      <c r="C6" s="0"/>
      <c r="D6" s="0"/>
      <c r="E6" s="0"/>
      <c r="F6" s="0"/>
      <c r="G6" s="0"/>
      <c r="H6" s="0"/>
      <c r="I6" s="0"/>
      <c r="J6" s="0"/>
      <c r="K6" s="0"/>
      <c r="L6" s="0"/>
      <c r="M6" s="0"/>
      <c r="N6" s="0"/>
    </row>
    <row r="7">
      <c r="A7" s="0"/>
      <c r="B7" s="0"/>
      <c r="C7" s="0"/>
      <c r="D7" s="0"/>
      <c r="E7" s="0"/>
      <c r="F7" s="0"/>
      <c r="G7" s="0"/>
      <c r="H7" s="0"/>
      <c r="I7" s="0"/>
      <c r="J7" s="0"/>
      <c r="K7" s="0"/>
      <c r="L7" s="0"/>
      <c r="M7" s="0"/>
      <c r="N7" s="0"/>
    </row>
    <row r="8">
      <c r="A8" s="0"/>
      <c r="B8" s="0"/>
      <c r="C8" s="0"/>
      <c r="D8" s="0"/>
      <c r="E8" s="0"/>
      <c r="F8" s="0"/>
      <c r="G8" s="0"/>
      <c r="H8" s="0"/>
      <c r="I8" s="0"/>
      <c r="J8" s="0"/>
      <c r="K8" s="0"/>
      <c r="L8" s="0"/>
      <c r="M8" s="0"/>
      <c r="N8" s="0"/>
    </row>
    <row r="9">
      <c r="A9" s="0"/>
      <c r="B9" s="0"/>
      <c r="C9" s="0"/>
      <c r="D9" s="0"/>
      <c r="E9" s="0"/>
      <c r="F9" s="0"/>
      <c r="G9" s="0"/>
      <c r="H9" s="0"/>
      <c r="I9" s="0"/>
      <c r="J9" s="0"/>
      <c r="K9" s="0"/>
      <c r="L9" s="0"/>
      <c r="M9" s="0"/>
      <c r="N9" s="0"/>
    </row>
    <row r="10">
      <c r="A10" s="0"/>
      <c r="B10" s="0"/>
      <c r="C10" s="0"/>
      <c r="D10" s="0"/>
      <c r="E10" s="0"/>
      <c r="F10" s="0"/>
      <c r="G10" s="0"/>
      <c r="H10" s="0"/>
      <c r="I10" s="0"/>
      <c r="J10" s="0"/>
      <c r="K10" s="0"/>
      <c r="L10" s="0"/>
      <c r="M10" s="0"/>
      <c r="N10" s="0"/>
    </row>
    <row r="11">
      <c r="A11" s="0"/>
      <c r="B11" s="0"/>
      <c r="C11" s="0"/>
      <c r="D11" s="0"/>
      <c r="E11" s="0"/>
      <c r="F11" s="0"/>
      <c r="G11" s="0"/>
      <c r="H11" s="0"/>
      <c r="I11" s="0"/>
      <c r="J11" s="0"/>
      <c r="K11" s="0"/>
      <c r="L11" s="0"/>
      <c r="M11" s="0"/>
      <c r="N11" s="0"/>
    </row>
    <row r="12">
      <c r="A12" s="0"/>
      <c r="B12" s="0"/>
      <c r="C12" s="0"/>
      <c r="D12" s="0"/>
      <c r="E12" s="0"/>
      <c r="F12" s="0"/>
      <c r="G12" s="0"/>
      <c r="H12" s="0"/>
      <c r="I12" s="0"/>
      <c r="J12" s="0"/>
      <c r="K12" s="0"/>
      <c r="L12" s="0"/>
      <c r="M12" s="0"/>
      <c r="N12" s="0"/>
    </row>
    <row r="13">
      <c r="A13" s="0"/>
      <c r="B13" s="0"/>
      <c r="C13" s="0"/>
      <c r="D13" s="0"/>
      <c r="E13" s="0"/>
      <c r="F13" s="0"/>
      <c r="G13" s="0"/>
      <c r="H13" s="0"/>
      <c r="I13" s="0"/>
      <c r="J13" s="0"/>
      <c r="K13" s="0"/>
      <c r="L13" s="0"/>
      <c r="M13" s="0"/>
      <c r="N13" s="0"/>
    </row>
    <row r="14">
      <c r="A14" s="0"/>
      <c r="B14" s="0"/>
      <c r="C14" s="0"/>
      <c r="D14" s="0"/>
      <c r="E14" s="0"/>
      <c r="F14" s="0"/>
      <c r="G14" s="0"/>
      <c r="H14" s="0"/>
      <c r="I14" s="0"/>
      <c r="J14" s="0"/>
      <c r="K14" s="0"/>
      <c r="L14" s="0"/>
      <c r="M14" s="0"/>
      <c r="N14" s="0"/>
    </row>
    <row r="15">
      <c r="A15" s="0"/>
      <c r="B15" s="0"/>
      <c r="C15" s="0"/>
      <c r="D15" s="0"/>
      <c r="E15" s="0"/>
      <c r="F15" s="0"/>
      <c r="G15" s="0"/>
      <c r="H15" s="0"/>
      <c r="I15" s="0"/>
      <c r="J15" s="0"/>
      <c r="K15" s="0"/>
      <c r="L15" s="0"/>
      <c r="M15" s="0"/>
      <c r="N15" s="0"/>
    </row>
    <row r="16">
      <c r="A16" s="0"/>
      <c r="B16" s="0"/>
      <c r="C16" s="0"/>
      <c r="D16" s="0"/>
      <c r="E16" s="0"/>
      <c r="F16" s="0"/>
      <c r="G16" s="0"/>
      <c r="H16" s="0"/>
      <c r="I16" s="0"/>
      <c r="J16" s="0"/>
      <c r="K16" s="0"/>
      <c r="L16" s="0"/>
      <c r="M16" s="0"/>
      <c r="N16" s="0"/>
    </row>
    <row r="17">
      <c r="A17" s="0"/>
      <c r="B17" s="0"/>
      <c r="C17" s="0"/>
      <c r="D17" s="0"/>
      <c r="E17" s="0"/>
      <c r="F17" s="0"/>
      <c r="G17" s="0"/>
      <c r="H17" s="0"/>
      <c r="I17" s="0"/>
      <c r="J17" s="0"/>
      <c r="K17" s="0"/>
      <c r="L17" s="0"/>
      <c r="M17" s="0"/>
      <c r="N17" s="0"/>
    </row>
    <row r="18">
      <c r="A18" s="0"/>
      <c r="B18" s="0"/>
      <c r="C18" s="0"/>
      <c r="D18" s="0"/>
      <c r="E18" s="0"/>
      <c r="F18" s="0"/>
      <c r="G18" s="0"/>
      <c r="H18" s="0"/>
      <c r="I18" s="0"/>
      <c r="J18" s="0"/>
      <c r="K18" s="0"/>
      <c r="L18" s="0"/>
      <c r="M18" s="0"/>
      <c r="N18" s="0"/>
    </row>
    <row r="19">
      <c r="A19" s="0"/>
      <c r="B19" s="0"/>
      <c r="C19" s="0"/>
      <c r="D19" s="0"/>
      <c r="E19" s="0"/>
      <c r="F19" s="0"/>
      <c r="G19" s="0"/>
      <c r="H19" s="0"/>
      <c r="I19" s="0"/>
      <c r="J19" s="0"/>
      <c r="K19" s="0"/>
      <c r="L19" s="0"/>
      <c r="M19" s="0"/>
      <c r="N19" s="0"/>
    </row>
    <row r="20">
      <c r="A20" s="0"/>
      <c r="B20" s="0"/>
      <c r="C20" s="0"/>
      <c r="D20" s="0"/>
      <c r="E20" s="0"/>
      <c r="F20" s="0"/>
      <c r="G20" s="0"/>
      <c r="H20" s="0"/>
      <c r="I20" s="0"/>
      <c r="J20" s="0"/>
      <c r="K20" s="0"/>
      <c r="L20" s="0"/>
      <c r="M20" s="0"/>
      <c r="N20" s="0"/>
    </row>
    <row r="21">
      <c r="A21" s="0"/>
      <c r="B21" s="0"/>
      <c r="C21" s="0"/>
      <c r="D21" s="0"/>
      <c r="E21" s="0"/>
      <c r="F21" s="0"/>
      <c r="G21" s="0"/>
      <c r="H21" s="0"/>
      <c r="I21" s="0"/>
      <c r="J21" s="0"/>
      <c r="K21" s="0"/>
      <c r="L21" s="0"/>
      <c r="M21" s="0"/>
      <c r="N21" s="0"/>
    </row>
    <row r="22">
      <c r="A22" s="0"/>
      <c r="B22" s="0"/>
      <c r="C22" s="0"/>
      <c r="D22" s="0"/>
      <c r="E22" s="0"/>
      <c r="F22" s="0"/>
      <c r="G22" s="0"/>
      <c r="H22" s="0"/>
      <c r="I22" s="0"/>
      <c r="J22" s="0"/>
      <c r="K22" s="0"/>
      <c r="L22" s="0"/>
      <c r="M22" s="0"/>
      <c r="N22" s="0"/>
    </row>
    <row r="23">
      <c r="A23" s="0"/>
      <c r="B23" s="0"/>
      <c r="C23" s="0"/>
      <c r="D23" s="0"/>
      <c r="E23" s="0"/>
      <c r="F23" s="0"/>
      <c r="G23" s="0"/>
      <c r="H23" s="0"/>
      <c r="I23" s="0"/>
      <c r="J23" s="0"/>
      <c r="K23" s="0"/>
      <c r="L23" s="0"/>
      <c r="M23" s="0"/>
      <c r="N23" s="0"/>
    </row>
    <row r="24">
      <c r="A24" s="0"/>
      <c r="B24" s="0"/>
      <c r="C24" s="0"/>
      <c r="D24" s="0"/>
      <c r="E24" s="0"/>
      <c r="F24" s="0"/>
      <c r="G24" s="0"/>
      <c r="H24" s="0"/>
      <c r="I24" s="0"/>
      <c r="J24" s="0"/>
      <c r="K24" s="0"/>
      <c r="L24" s="0"/>
      <c r="M24" s="0"/>
      <c r="N24" s="0"/>
    </row>
    <row r="25">
      <c r="A25" s="0"/>
      <c r="B25" s="0"/>
      <c r="C25" s="0"/>
      <c r="D25" s="0"/>
      <c r="E25" s="0"/>
      <c r="F25" s="0"/>
      <c r="G25" s="0"/>
      <c r="H25" s="0"/>
      <c r="I25" s="0"/>
      <c r="J25" s="0"/>
      <c r="K25" s="0"/>
      <c r="L25" s="0"/>
      <c r="M25" s="0"/>
      <c r="N25" s="0"/>
    </row>
    <row r="26">
      <c r="A26" s="0"/>
      <c r="B26" s="0"/>
      <c r="C26" s="0"/>
      <c r="D26" s="0"/>
      <c r="E26" s="0"/>
      <c r="F26" s="0"/>
      <c r="G26" s="0"/>
      <c r="H26" s="0"/>
      <c r="I26" s="0"/>
      <c r="J26" s="0"/>
      <c r="K26" s="0"/>
      <c r="L26" s="0"/>
      <c r="M26" s="0"/>
      <c r="N26" s="0"/>
    </row>
    <row r="27">
      <c r="A27" s="0"/>
      <c r="B27" s="0"/>
      <c r="C27" s="0"/>
      <c r="D27" s="0"/>
      <c r="E27" s="0"/>
      <c r="F27" s="0"/>
      <c r="G27" s="0"/>
      <c r="H27" s="0"/>
      <c r="I27" s="0"/>
      <c r="J27" s="0"/>
      <c r="K27" s="0"/>
      <c r="L27" s="0"/>
      <c r="M27" s="0"/>
      <c r="N27" s="0"/>
    </row>
    <row r="28">
      <c r="A28" s="0"/>
      <c r="B28" s="0"/>
      <c r="C28" s="0"/>
      <c r="D28" s="0"/>
      <c r="E28" s="0"/>
      <c r="F28" s="0"/>
      <c r="G28" s="0"/>
      <c r="H28" s="0"/>
      <c r="I28" s="0"/>
      <c r="J28" s="0"/>
      <c r="K28" s="0"/>
      <c r="L28" s="0"/>
      <c r="M28" s="0"/>
      <c r="N28" s="0"/>
    </row>
    <row r="29">
      <c r="A29" s="0"/>
      <c r="B29" s="0"/>
      <c r="C29" s="0"/>
      <c r="D29" s="0"/>
      <c r="E29" s="0"/>
      <c r="F29" s="0"/>
      <c r="G29" s="0"/>
      <c r="H29" s="0"/>
      <c r="I29" s="0"/>
      <c r="J29" s="0"/>
      <c r="K29" s="0"/>
      <c r="L29" s="0"/>
      <c r="M29" s="0"/>
      <c r="N29" s="0"/>
    </row>
  </sheetData>
  <autoFilter ref="A4:N29"/>
  <mergeCells count="2">
    <mergeCell ref="A1:N1"/>
    <mergeCell ref="A2:N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pane ySplit="4" topLeftCell="A5" activePane="bottomLeft" state="frozen"/>
      <selection pane="bottomLeft"/>
    </sheetView>
  </sheetViews>
  <cols>
    <col min="1" max="1" width="13" customWidth="1"/>
    <col min="2" max="2" width="14" customWidth="1"/>
    <col min="3" max="3" width="70" customWidth="1"/>
    <col min="4" max="4" width="58" customWidth="1"/>
    <col min="5" max="5" width="20" customWidth="1"/>
  </cols>
  <sheetData>
    <row r="1" ht="24" customHeight="1">
      <c r="A1" t="inlineStr" s="1">
        <is>
          <t>99 Changelog</t>
        </is>
      </c>
    </row>
    <row r="2" ht="40" customHeight="1">
      <c r="A2" t="inlineStr" s="2">
        <is>
          <t>用于记录这份 Excel 本身的结构和重要假设修改。</t>
        </is>
      </c>
    </row>
    <row r="3"/>
    <row r="4" ht="30" customHeight="1">
      <c r="A4" t="inlineStr" s="3">
        <is>
          <t>Date</t>
        </is>
      </c>
      <c r="B4" t="inlineStr" s="3">
        <is>
          <t>Version</t>
        </is>
      </c>
      <c r="C4" t="inlineStr" s="3">
        <is>
          <t>Changes</t>
        </is>
      </c>
      <c r="D4" t="inlineStr" s="3">
        <is>
          <t>Reason</t>
        </is>
      </c>
      <c r="E4" t="inlineStr" s="3">
        <is>
          <t>Affected Sheets</t>
        </is>
      </c>
    </row>
    <row r="5" ht="54" customHeight="1">
      <c r="A5" t="inlineStr" s="10">
        <is>
          <t>2026-06-27</t>
        </is>
      </c>
      <c r="B5" t="inlineStr" s="0">
        <is>
          <t>v0.1</t>
        </is>
      </c>
      <c r="C5" t="inlineStr" s="6">
        <is>
          <t>重建第一版 balance workbook，修正上一版 PowerShell 管道导致的中日文问号问题。</t>
        </is>
      </c>
      <c r="D5" t="inlineStr" s="6">
        <is>
          <t>为后续机制扩展、升级系统、副官系统和数值调整提供统一地基。</t>
        </is>
      </c>
      <c r="E5" t="inlineStr" s="0">
        <is>
          <t>all</t>
        </is>
      </c>
    </row>
  </sheetData>
  <autoFilter ref="A4:E5"/>
  <mergeCells count="2">
    <mergeCell ref="A1:E1"/>
    <mergeCell ref="A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00_Assumptions</vt:lpstr>
      <vt:lpstr>01_Hero_Base</vt:lpstr>
      <vt:lpstr>02_Skill_Value</vt:lpstr>
      <vt:lpstr>03_Combat_Exchange</vt:lpstr>
      <vt:lpstr>04_Upgrade_Curve_Draft</vt:lpstr>
      <vt:lpstr>05_Soldier_Lieutenant_Draft</vt:lpstr>
      <vt:lpstr>06_Playtest_Log</vt:lpstr>
      <vt:lpstr>99_Changelog</vt:lpstr>
    </vt:vector>
  </TitlesOfParts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Tiny Pixel Fights Balance Workbook</dc:title>
  <dc:creator>Codex</dc:creator>
  <cp:lastModifiedBy>Codex</cp:lastModifiedBy>
  <dcterms:created xsi:type="dcterms:W3CDTF">2026-06-27T12:15:32Z</dcterms:created>
  <dcterms:modified xsi:type="dcterms:W3CDTF">2026-06-27T12:15:32Z</dcterms:modified>
</cp:coreProperties>
</file>
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077ec2dfd640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Assumptions" sheetId="1" r:id="Rac182c704f584318"/>
    <x:sheet xmlns:r="http://schemas.openxmlformats.org/officeDocument/2006/relationships" name="01_Hero_Base" sheetId="2" r:id="R96b1c5813f5e4306"/>
    <x:sheet xmlns:r="http://schemas.openxmlformats.org/officeDocument/2006/relationships" name="02_Skill_Value" sheetId="3" r:id="R9e99e9be03464fc3"/>
    <x:sheet xmlns:r="http://schemas.openxmlformats.org/officeDocument/2006/relationships" name="03_Combat_Exchange" sheetId="4" r:id="Rfbb97a4fd64242c4"/>
    <x:sheet xmlns:r="http://schemas.openxmlformats.org/officeDocument/2006/relationships" name="04_Upgrade_Curve_Draft" sheetId="5" r:id="R48361e75f43f4b87"/>
    <x:sheet xmlns:r="http://schemas.openxmlformats.org/officeDocument/2006/relationships" name="05_Soldier_Lieutenant_Draft" sheetId="6" r:id="R1ef125bc68474c62"/>
    <x:sheet xmlns:r="http://schemas.openxmlformats.org/officeDocument/2006/relationships" name="06_Playtest_Log" sheetId="7" r:id="R6aa43680df214620"/>
    <x:sheet xmlns:r="http://schemas.openxmlformats.org/officeDocument/2006/relationships" name="99_Changelog" sheetId="8" r:id="R11861e4b89b34a33"/>
    <x:sheet xmlns:r="http://schemas.openxmlformats.org/officeDocument/2006/relationships" name="07_Defense_Lab" sheetId="9" r:id="Rd0e618a7019949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"/>
    <x:numFmt numFmtId="200" formatCode="0"/>
    <x:numFmt numFmtId="201" formatCode="0.00"/>
  </x:numFmts>
  <x:fonts count="10">
    <x:font>
      <x:sz val="11"/>
      <x:color rgb="FF211915"/>
      <x:name val="Yu Gothic"/>
    </x:font>
    <x:font>
      <x:b/>
      <x:sz val="16"/>
      <x:color rgb="FF09090B"/>
      <x:name val="Yu Mincho"/>
    </x:font>
    <x:font>
      <x:i/>
      <x:sz val="10"/>
      <x:color rgb="FF80683D"/>
      <x:name val="Yu Gothic"/>
    </x:font>
    <x:font>
      <x:b/>
      <x:sz val="11"/>
      <x:color rgb="FFE8DDCC"/>
      <x:name val="Yu Gothic"/>
    </x:font>
    <x:font>
      <x:b/>
      <x:sz val="11"/>
      <x:color rgb="FF711724"/>
      <x:name val="Yu Gothic"/>
    </x:font>
    <x:font>
      <x:b/>
      <x:sz val="11"/>
      <x:color rgb="FF09090B"/>
      <x:name val="Yu Gothic"/>
    </x:font>
    <x:font>
      <x:b/>
      <x:sz val="11"/>
      <x:color rgb="FFFFFFFF"/>
      <x:name val="Yu Gothic"/>
    </x:font>
    <x:font>
      <x:b/>
      <x:sz val="11"/>
      <x:color rgb="FF3B2A1A"/>
      <x:name val="Yu Gothic"/>
    </x:font>
    <x:font>
      <x:b/>
      <x:sz val="14"/>
      <x:color rgb="FFFFFFFF"/>
      <x:name val="Yu Gothic"/>
    </x:font>
    <x:font>
      <x:sz val="11"/>
      <x:color rgb="FF4A3524"/>
      <x:name val="Yu Gothic"/>
    </x:font>
  </x:fonts>
  <x:fills count="14">
    <x:fill>
      <x:patternFill patternType="none"/>
    </x:fill>
    <x:fill>
      <x:patternFill patternType="gray125"/>
    </x:fill>
    <x:fill>
      <x:patternFill patternType="solid">
        <x:fgColor rgb="FF31251E"/>
      </x:patternFill>
    </x:fill>
    <x:fill>
      <x:patternFill patternType="solid">
        <x:fgColor rgb="FFF6E5C3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E699"/>
      </x:patternFill>
    </x:fill>
    <x:fill>
      <x:patternFill patternType="solid">
        <x:fgColor rgb="FF3B2A1A"/>
      </x:patternFill>
    </x:fill>
    <x:fill>
      <x:patternFill patternType="solid">
        <x:fgColor rgb="FFE8D8B8"/>
      </x:patternFill>
    </x:fill>
    <x:fill>
      <x:patternFill patternType="solid">
        <x:fgColor rgb="FFFFF4D6"/>
      </x:patternFill>
    </x:fill>
    <x:fill>
      <x:patternFill patternType="solid">
        <x:fgColor rgb="FFF2F7E8"/>
      </x:patternFill>
    </x:fill>
    <x:fill>
      <x:patternFill patternType="solid">
        <x:fgColor rgb="FF2C1D13"/>
      </x:patternFill>
    </x:fill>
    <x:fill>
      <x:patternFill patternType="solid">
        <x:fgColor rgb="FFF5EFE2"/>
      </x:patternFill>
    </x:fill>
    <x:fill>
      <x:patternFill patternType="solid">
        <x:fgColor rgb="FFFBE9E7"/>
      </x:patternFill>
    </x:fill>
  </x:fills>
  <x:borders count="16">
    <x:border/>
    <x:border>
      <x:left style="thin">
        <x:color rgb="FFC7A45A"/>
      </x:left>
      <x:right style="thin">
        <x:color rgb="FFC7A45A"/>
      </x:right>
      <x:top style="thin">
        <x:color rgb="FFC7A45A"/>
      </x:top>
      <x:bottom style="thin">
        <x:color rgb="FFC7A45A"/>
      </x:bottom>
    </x:border>
    <x:border>
      <x:left style="thin">
        <x:color rgb="FFD8C8AD"/>
      </x:left>
      <x:right style="thin">
        <x:color rgb="FFD8C8AD"/>
      </x:right>
      <x:top style="thin">
        <x:color rgb="FFD8C8AD"/>
      </x:top>
      <x:bottom style="thin">
        <x:color rgb="FFD8C8AD"/>
      </x:bottom>
    </x:border>
    <x:border>
      <x:left style="thin">
        <x:color rgb="FFE0D1B8"/>
      </x:left>
      <x:right style="thin">
        <x:color rgb="FFE0D1B8"/>
      </x:right>
      <x:top style="thin">
        <x:color rgb="FFE0D1B8"/>
      </x:top>
      <x:bottom style="thin">
        <x:color rgb="FFE0D1B8"/>
      </x:bottom>
    </x:border>
    <x:border>
      <x:right style="thin">
        <x:color rgb="FFE6D9C3"/>
      </x:right>
      <x:bottom style="thin">
        <x:color rgb="FFD8C8AD"/>
      </x:bottom>
    </x:border>
    <x:border>
      <x:left style="thin">
        <x:color rgb="FFE6D9C3"/>
      </x:left>
      <x:right style="thin">
        <x:color rgb="FFE6D9C3"/>
      </x:right>
      <x:bottom style="thin">
        <x:color rgb="FFD8C8AD"/>
      </x:bottom>
    </x:border>
    <x:border>
      <x:left style="thin">
        <x:color rgb="FFE6D9C3"/>
      </x:left>
      <x:bottom style="thin">
        <x:color rgb="FFD8C8AD"/>
      </x:bottom>
    </x:border>
    <x:border>
      <x:right style="thin">
        <x:color rgb="FFE6D9C3"/>
      </x:right>
      <x:top style="thin">
        <x:color rgb="FFD8C8AD"/>
      </x:top>
      <x:bottom style="thin">
        <x:color rgb="FFD8C8AD"/>
      </x:bottom>
    </x:border>
    <x:border>
      <x:left style="thin">
        <x:color rgb="FFE6D9C3"/>
      </x:left>
      <x:right style="thin">
        <x:color rgb="FFE6D9C3"/>
      </x:right>
      <x:top style="thin">
        <x:color rgb="FFD8C8AD"/>
      </x:top>
      <x:bottom style="thin">
        <x:color rgb="FFD8C8AD"/>
      </x:bottom>
    </x:border>
    <x:border>
      <x:left style="thin">
        <x:color rgb="FFE6D9C3"/>
      </x:left>
      <x:top style="thin">
        <x:color rgb="FFD8C8AD"/>
      </x:top>
      <x:bottom style="thin">
        <x:color rgb="FFD8C8AD"/>
      </x:bottom>
    </x:border>
    <x:border>
      <x:right style="thin">
        <x:color rgb="FFE6D9C3"/>
      </x:right>
      <x:top style="thin">
        <x:color rgb="FFD8C8AD"/>
      </x:top>
      <x:bottom style="thin">
        <x:color rgb="FFBCA37A"/>
      </x:bottom>
    </x:border>
    <x:border>
      <x:left style="thin">
        <x:color rgb="FFE6D9C3"/>
      </x:left>
      <x:right style="thin">
        <x:color rgb="FFE6D9C3"/>
      </x:right>
      <x:top style="thin">
        <x:color rgb="FFD8C8AD"/>
      </x:top>
      <x:bottom style="thin">
        <x:color rgb="FFBCA37A"/>
      </x:bottom>
    </x:border>
    <x:border>
      <x:left style="thin">
        <x:color rgb="FFE6D9C3"/>
      </x:left>
      <x:top style="thin">
        <x:color rgb="FFD8C8AD"/>
      </x:top>
      <x:bottom style="thin">
        <x:color rgb="FFBCA37A"/>
      </x:bottom>
    </x:border>
    <x:border>
      <x:right style="thin">
        <x:color rgb="FFE6D9C3"/>
      </x:right>
      <x:bottom style="thin">
        <x:color rgb="FFBCA37A"/>
      </x:bottom>
    </x:border>
    <x:border>
      <x:left style="thin">
        <x:color rgb="FFE6D9C3"/>
      </x:left>
      <x:right style="thin">
        <x:color rgb="FFE6D9C3"/>
      </x:right>
      <x:bottom style="thin">
        <x:color rgb="FFBCA37A"/>
      </x:bottom>
    </x:border>
    <x:border>
      <x:left style="thin">
        <x:color rgb="FFE6D9C3"/>
      </x:left>
      <x:bottom style="thin">
        <x:color rgb="FFBCA37A"/>
      </x:bottom>
    </x:border>
  </x:borders>
  <x:cellStyleXfs count="1">
    <x:xf numFmtId="0" fontId="0" fillId="0" borderId="0"/>
  </x:cellStyleXfs>
  <x:cellXfs count="101">
    <x:xf numFmtId="0" fontId="0" fillId="0" borderId="0" xfId="0"/>
    <x:xf numFmtId="0" fontId="1" fillId="0" borderId="0" xfId="0">
      <x:alignment wrapText="1"/>
    </x:xf>
    <x:xf numFmtId="0" fontId="2" fillId="0" borderId="0" xfId="0">
      <x:alignment wrapText="1"/>
    </x:xf>
    <x:xf numFmtId="0" fontId="3" fillId="2" borderId="1" xfId="0">
      <x:alignment horizontal="center" vertical="center" wrapText="1"/>
    </x:xf>
    <x:xf numFmtId="0" fontId="0" fillId="3" borderId="1" xfId="0">
      <x:alignment vertical="top" wrapText="1"/>
    </x:xf>
    <x:xf numFmtId="0" fontId="0" fillId="4" borderId="1" xfId="0">
      <x:alignment vertical="top" wrapText="1"/>
    </x:xf>
    <x:xf numFmtId="0" fontId="0" fillId="5" borderId="1" xfId="0">
      <x:alignment vertical="top" wrapText="1"/>
    </x:xf>
    <x:xf numFmtId="0" fontId="3" fillId="2" borderId="1" xfId="0">
      <x:alignment horizontal="center" wrapText="1"/>
    </x:xf>
    <x:xf numFmtId="0" fontId="4" fillId="0" borderId="1" xfId="0">
      <x:alignment horizontal="right"/>
    </x:xf>
    <x:xf numFmtId="10" fontId="0" fillId="0" borderId="1" xfId="0">
      <x:alignment horizontal="right"/>
    </x:xf>
    <x:xf numFmtId="164" fontId="0" fillId="0" borderId="1" xfId="0"/>
    <x:xf numFmtId="0" fontId="5" fillId="6" borderId="1" xfId="0">
      <x:alignment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horizont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0" fontId="0" fillId="0" borderId="2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horizontal="center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/>
    <x:xf numFmtId="200" fontId="0" fillId="5" borderId="3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/>
    <x:xf numFmtId="200" fontId="0" fillId="5" borderId="3" xfId="0" applyNumberFormat="1" applyFont="1" applyFill="1" applyBorder="1" applyAlignment="1">
      <x:alignment horizontal="center" vertical="top" wrapText="1"/>
    </x:xf>
    <x:xf numFmtId="200" fontId="0" fillId="0" borderId="3" xfId="0" applyNumberFormat="1" applyFont="1" applyFill="1" applyBorder="1" applyAlignment="1">
      <x:alignment horizontal="center"/>
    </x:xf>
    <x:xf numFmtId="200" fontId="0" fillId="9" borderId="3" xfId="0" applyNumberFormat="1" applyFont="1" applyFill="1" applyBorder="1" applyAlignment="1">
      <x:alignment horizontal="center"/>
    </x:xf>
    <x:xf numFmtId="200" fontId="0" fillId="10" borderId="3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horizontal="left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0" xfId="0" applyNumberFormat="1" applyFont="1" applyFill="1" applyBorder="1" applyAlignment="1">
      <x:alignment wrapText="1"/>
    </x:xf>
    <x:xf numFmtId="0" fontId="9" fillId="12" borderId="0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horizontal="left" vertical="center"/>
    </x:xf>
    <x:xf numFmtId="0" fontId="0" fillId="0" borderId="5" xfId="0" applyNumberFormat="1" applyFont="1" applyFill="1" applyBorder="1" applyAlignment="1">
      <x:alignment horizontal="left" vertical="center"/>
    </x:xf>
    <x:xf numFmtId="0" fontId="0" fillId="0" borderId="7" xfId="0" applyNumberFormat="1" applyFont="1" applyFill="1" applyBorder="1" applyAlignment="1">
      <x:alignment horizontal="left" vertical="center"/>
    </x:xf>
    <x:xf numFmtId="0" fontId="0" fillId="0" borderId="8" xfId="0" applyNumberFormat="1" applyFont="1" applyFill="1" applyBorder="1" applyAlignment="1">
      <x:alignment horizontal="left" vertical="center"/>
    </x:xf>
    <x:xf numFmtId="0" fontId="0" fillId="0" borderId="10" xfId="0" applyNumberFormat="1" applyFont="1" applyFill="1" applyBorder="1" applyAlignment="1">
      <x:alignment horizontal="left" vertical="center"/>
    </x:xf>
    <x:xf numFmtId="0" fontId="0" fillId="0" borderId="11" xfId="0" applyNumberFormat="1" applyFont="1" applyFill="1" applyBorder="1" applyAlignment="1">
      <x:alignment horizontal="left" vertical="center"/>
    </x:xf>
    <x:xf numFmtId="200" fontId="0" fillId="0" borderId="5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0" fontId="0" fillId="0" borderId="11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horizontal="center" vertical="center"/>
    </x:xf>
    <x:xf numFmtId="200" fontId="0" fillId="0" borderId="8" xfId="0" applyNumberFormat="1" applyFont="1" applyFill="1" applyBorder="1" applyAlignment="1">
      <x:alignment horizontal="center" vertical="center"/>
    </x:xf>
    <x:xf numFmtId="200" fontId="0" fillId="0" borderId="11" xfId="0" applyNumberFormat="1" applyFont="1" applyFill="1" applyBorder="1" applyAlignment="1">
      <x:alignment horizontal="center" vertical="center"/>
    </x:xf>
    <x:xf numFmtId="201" fontId="0" fillId="0" borderId="5" xfId="0" applyNumberFormat="1" applyFont="1" applyFill="1" applyBorder="1" applyAlignment="1">
      <x:alignment horizontal="center" vertical="center"/>
    </x:xf>
    <x:xf numFmtId="201" fontId="0" fillId="0" borderId="8" xfId="0" applyNumberFormat="1" applyFont="1" applyFill="1" applyBorder="1" applyAlignment="1">
      <x:alignment horizontal="center" vertical="center"/>
    </x:xf>
    <x:xf numFmtId="201" fontId="0" fillId="0" borderId="11" xfId="0" applyNumberFormat="1" applyFont="1" applyFill="1" applyBorder="1" applyAlignment="1">
      <x:alignment horizontal="center" vertical="center"/>
    </x:xf>
    <x:xf numFmtId="200" fontId="0" fillId="9" borderId="5" xfId="0" applyNumberFormat="1" applyFont="1" applyFill="1" applyBorder="1" applyAlignment="1">
      <x:alignment horizontal="center" vertical="center"/>
    </x:xf>
    <x:xf numFmtId="200" fontId="0" fillId="9" borderId="8" xfId="0" applyNumberFormat="1" applyFont="1" applyFill="1" applyBorder="1" applyAlignment="1">
      <x:alignment horizontal="center" vertical="center"/>
    </x:xf>
    <x:xf numFmtId="200" fontId="0" fillId="9" borderId="11" xfId="0" applyNumberFormat="1" applyFont="1" applyFill="1" applyBorder="1" applyAlignment="1">
      <x:alignment horizontal="center" vertical="center"/>
    </x:xf>
    <x:xf numFmtId="200" fontId="0" fillId="13" borderId="5" xfId="0" applyNumberFormat="1" applyFont="1" applyFill="1" applyBorder="1" applyAlignment="1">
      <x:alignment horizontal="center" vertical="center"/>
    </x:xf>
    <x:xf numFmtId="200" fontId="0" fillId="13" borderId="8" xfId="0" applyNumberFormat="1" applyFont="1" applyFill="1" applyBorder="1" applyAlignment="1">
      <x:alignment horizontal="center" vertical="center"/>
    </x:xf>
    <x:xf numFmtId="200" fontId="0" fillId="13" borderId="11" xfId="0" applyNumberFormat="1" applyFont="1" applyFill="1" applyBorder="1" applyAlignment="1">
      <x:alignment horizontal="center" vertical="center"/>
    </x:xf>
    <x:xf numFmtId="200" fontId="0" fillId="10" borderId="5" xfId="0" applyNumberFormat="1" applyFont="1" applyFill="1" applyBorder="1" applyAlignment="1">
      <x:alignment horizontal="center" vertical="center"/>
    </x:xf>
    <x:xf numFmtId="200" fontId="0" fillId="10" borderId="8" xfId="0" applyNumberFormat="1" applyFont="1" applyFill="1" applyBorder="1" applyAlignment="1">
      <x:alignment horizontal="center" vertical="center"/>
    </x:xf>
    <x:xf numFmtId="200" fontId="0" fillId="10" borderId="11" xfId="0" applyNumberFormat="1" applyFont="1" applyFill="1" applyBorder="1" applyAlignment="1">
      <x:alignment horizontal="center" vertical="center"/>
    </x:xf>
    <x:xf numFmtId="0" fontId="0" fillId="12" borderId="6" xfId="0" applyNumberFormat="1" applyFont="1" applyFill="1" applyBorder="1" applyAlignment="1">
      <x:alignment vertical="center"/>
    </x:xf>
    <x:xf numFmtId="0" fontId="0" fillId="12" borderId="9" xfId="0" applyNumberFormat="1" applyFont="1" applyFill="1" applyBorder="1" applyAlignment="1">
      <x:alignment vertical="center"/>
    </x:xf>
    <x:xf numFmtId="0" fontId="0" fillId="12" borderId="12" xfId="0" applyNumberFormat="1" applyFont="1" applyFill="1" applyBorder="1" applyAlignment="1">
      <x:alignment vertical="center"/>
    </x:xf>
    <x:xf numFmtId="0" fontId="9" fillId="12" borderId="6" xfId="0" applyNumberFormat="1" applyFont="1" applyFill="1" applyBorder="1" applyAlignment="1">
      <x:alignment vertical="center"/>
    </x:xf>
    <x:xf numFmtId="0" fontId="9" fillId="12" borderId="9" xfId="0" applyNumberFormat="1" applyFont="1" applyFill="1" applyBorder="1" applyAlignment="1">
      <x:alignment vertical="center"/>
    </x:xf>
    <x:xf numFmtId="0" fontId="9" fillId="12" borderId="12" xfId="0" applyNumberFormat="1" applyFont="1" applyFill="1" applyBorder="1" applyAlignment="1">
      <x:alignment vertical="center"/>
    </x:xf>
    <x:xf numFmtId="0" fontId="9" fillId="12" borderId="6" xfId="0" applyNumberFormat="1" applyFont="1" applyFill="1" applyBorder="1" applyAlignment="1">
      <x:alignment vertical="center" wrapText="1"/>
    </x:xf>
    <x:xf numFmtId="0" fontId="9" fillId="12" borderId="9" xfId="0" applyNumberFormat="1" applyFont="1" applyFill="1" applyBorder="1" applyAlignment="1">
      <x:alignment vertical="center" wrapText="1"/>
    </x:xf>
    <x:xf numFmtId="0" fontId="9" fillId="12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164" fontId="0" fillId="0" borderId="1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07b09c89e24ec8" /><Relationship Type="http://schemas.openxmlformats.org/officeDocument/2006/relationships/theme" Target="/xl/theme/theme1.xml" Id="R895847e8802c495a" /><Relationship Type="http://schemas.openxmlformats.org/officeDocument/2006/relationships/sharedStrings" Target="/xl/sharedStrings.xml" Id="Rdd5e4f5948544d46" /><Relationship Type="http://schemas.openxmlformats.org/officeDocument/2006/relationships/worksheet" Target="/xl/worksheets/sheet1.xml" Id="Rac182c704f584318" /><Relationship Type="http://schemas.openxmlformats.org/officeDocument/2006/relationships/worksheet" Target="/xl/worksheets/sheet2.xml" Id="R96b1c5813f5e4306" /><Relationship Type="http://schemas.openxmlformats.org/officeDocument/2006/relationships/worksheet" Target="/xl/worksheets/sheet3.xml" Id="R9e99e9be03464fc3" /><Relationship Type="http://schemas.openxmlformats.org/officeDocument/2006/relationships/worksheet" Target="/xl/worksheets/sheet4.xml" Id="Rfbb97a4fd64242c4" /><Relationship Type="http://schemas.openxmlformats.org/officeDocument/2006/relationships/worksheet" Target="/xl/worksheets/sheet5.xml" Id="R48361e75f43f4b87" /><Relationship Type="http://schemas.openxmlformats.org/officeDocument/2006/relationships/worksheet" Target="/xl/worksheets/sheet6.xml" Id="R1ef125bc68474c62" /><Relationship Type="http://schemas.openxmlformats.org/officeDocument/2006/relationships/worksheet" Target="/xl/worksheets/sheet7.xml" Id="R6aa43680df214620" /><Relationship Type="http://schemas.openxmlformats.org/officeDocument/2006/relationships/worksheet" Target="/xl/worksheets/sheet8.xml" Id="R11861e4b89b34a33" /><Relationship Type="http://schemas.openxmlformats.org/officeDocument/2006/relationships/worksheet" Target="/xl/worksheets/sheet9.xml" Id="Rd0e618a7019949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14" customWidth="1"/>
    <x:col min="2" max="2" width="32" customWidth="1"/>
    <x:col min="3" max="3" width="14" customWidth="1"/>
    <x:col min="4" max="4" width="14" customWidth="1"/>
    <x:col min="5" max="5" width="88" customWidth="1"/>
  </x:cols>
  <x:sheetData>
    <x:row r="1" ht="24" customHeight="1">
      <x:c r="A1" s="1" t="inlineStr">
        <x:is>
          <x:t xml:space="preserve">Tiny Pixel Fights — Balance Workbook</x:t>
        </x:is>
      </x:c>
    </x:row>
    <x:row r="2" ht="40" customHeight="1">
      <x:c r="A2" s="2" t="inlineStr">
        <x:is>
          <x:t xml:space="preserve">用途：把现行对战原型的基础数值、技能估值、战斗交换、升级/士兵草案和 playtest 记录放进同一个可迭代表。公式是设计辅助，不是平衡证明。</x:t>
        </x:is>
      </x:c>
    </x:row>
    <x:row r="3"/>
    <x:row r="4" ht="28" customHeight="1">
      <x:c r="A4" s="3" t="inlineStr">
        <x:is>
          <x:t xml:space="preserve">类别</x:t>
        </x:is>
      </x:c>
      <x:c r="B4" s="3" t="inlineStr">
        <x:is>
          <x:t xml:space="preserve">参数ID</x:t>
        </x:is>
      </x:c>
      <x:c r="C4" s="3" t="inlineStr">
        <x:is>
          <x:t xml:space="preserve">当前值</x:t>
        </x:is>
      </x:c>
      <x:c r="D4" s="3" t="inlineStr">
        <x:is>
          <x:t xml:space="preserve">单位/类型</x:t>
        </x:is>
      </x:c>
      <x:c r="E4" s="3" t="inlineStr">
        <x:is>
          <x:t xml:space="preserve">说明</x:t>
        </x:is>
      </x:c>
    </x:row>
    <x:row r="5" ht="36" customHeight="1">
      <x:c r="A5" t="inlineStr">
        <x:is>
          <x:t xml:space="preserve">核心规则</x:t>
        </x:is>
      </x:c>
      <x:c r="B5" t="inlineStr">
        <x:is>
          <x:t xml:space="preserve">AP_MAX</x:t>
        </x:is>
      </x:c>
      <x:c r="C5" s="4">
        <x:v>5</x:v>
      </x:c>
      <x:c r="D5" t="inlineStr">
        <x:is>
          <x:t xml:space="preserve">points</x:t>
        </x:is>
      </x:c>
      <x:c r="E5" s="6" t="inlineStr">
        <x:is>
          <x:t xml:space="preserve">现行每方回合开始行动点上限；未来应支持局内/永久 modifier。</x:t>
        </x:is>
      </x:c>
    </x:row>
    <x:row r="6" ht="36" customHeight="1">
      <x:c r="A6" t="inlineStr">
        <x:is>
          <x:t xml:space="preserve">核心规则</x:t>
        </x:is>
      </x:c>
      <x:c r="B6" t="inlineStr">
        <x:is>
          <x:t xml:space="preserve">INITIAL_TEAM_SIZE</x:t>
        </x:is>
      </x:c>
      <x:c r="C6" s="4">
        <x:v>4</x:v>
      </x:c>
      <x:c r="D6" t="inlineStr">
        <x:is>
          <x:t xml:space="preserve">characters</x:t>
        </x:is>
      </x:c>
      <x:c r="E6" s="6" t="inlineStr">
        <x:is>
          <x:t xml:space="preserve">当前对战模式每方开局 4 人。未来队伍人数会变化。</x:t>
        </x:is>
      </x:c>
    </x:row>
    <x:row r="7" ht="36" customHeight="1">
      <x:c r="A7" t="inlineStr">
        <x:is>
          <x:t xml:space="preserve">核心规则</x:t>
        </x:is>
      </x:c>
      <x:c r="B7" t="inlineStr">
        <x:is>
          <x:t xml:space="preserve">ATTACKS_PER_CHARACTER_TURN</x:t>
        </x:is>
      </x:c>
      <x:c r="C7" s="4">
        <x:v>1</x:v>
      </x:c>
      <x:c r="D7" t="inlineStr">
        <x:is>
          <x:t xml:space="preserve">count</x:t>
        </x:is>
      </x:c>
      <x:c r="E7" s="6" t="inlineStr">
        <x:is>
          <x:t xml:space="preserve">每名角色每个己方回合最多主动攻击一次。</x:t>
        </x:is>
      </x:c>
    </x:row>
    <x:row r="8" ht="36" customHeight="1">
      <x:c r="A8" t="inlineStr">
        <x:is>
          <x:t xml:space="preserve">核心规则</x:t>
        </x:is>
      </x:c>
      <x:c r="B8" t="inlineStr">
        <x:is>
          <x:t xml:space="preserve">OPENING_HAND_MIN_COST1</x:t>
        </x:is>
      </x:c>
      <x:c r="C8" s="4">
        <x:v>1</x:v>
      </x:c>
      <x:c r="D8" t="inlineStr">
        <x:is>
          <x:t xml:space="preserve">characters</x:t>
        </x:is>
      </x:c>
      <x:c r="E8" s="6" t="inlineStr">
        <x:is>
          <x:t xml:space="preserve">发牌保底：双方至少 1 名 Cost1 角色。</x:t>
        </x:is>
      </x:c>
    </x:row>
    <x:row r="9" ht="36" customHeight="1">
      <x:c r="A9" t="inlineStr">
        <x:is>
          <x:t xml:space="preserve">战斗规则</x:t>
        </x:is>
      </x:c>
      <x:c r="B9" t="inlineStr">
        <x:is>
          <x:t xml:space="preserve">ATTACK_COUNTER_TIMING</x:t>
        </x:is>
      </x:c>
      <x:c r="C9" s="4" t="inlineStr">
        <x:is>
          <x:t xml:space="preserve">simultaneous</x:t>
        </x:is>
      </x:c>
      <x:c r="D9" t="inlineStr">
        <x:is>
          <x:t xml:space="preserve">rule</x:t>
        </x:is>
      </x:c>
      <x:c r="E9" s="6" t="inlineStr">
        <x:is>
          <x:t xml:space="preserve">主动攻击与反击同时结算；击杀不会取消本次反击。</x:t>
        </x:is>
      </x:c>
    </x:row>
    <x:row r="10" ht="36" customHeight="1">
      <x:c r="A10" t="inlineStr">
        <x:is>
          <x:t xml:space="preserve">战斗规则</x:t>
        </x:is>
      </x:c>
      <x:c r="B10" t="inlineStr">
        <x:is>
          <x:t xml:space="preserve">COUNTER_BASE_REDUCTION</x:t>
        </x:is>
      </x:c>
      <x:c r="C10" s="4">
        <x:v>1</x:v>
      </x:c>
      <x:c r="D10" t="inlineStr">
        <x:is>
          <x:t xml:space="preserve">points</x:t>
        </x:is>
      </x:c>
      <x:c r="E10" s="6" t="inlineStr">
        <x:is>
          <x:t xml:space="preserve">基础反击 = max(0, 当前基础攻击 - 1)。</x:t>
        </x:is>
      </x:c>
    </x:row>
    <x:row r="11" ht="36" customHeight="1">
      <x:c r="A11" t="inlineStr">
        <x:is>
          <x:t xml:space="preserve">战斗规则</x:t>
        </x:is>
      </x:c>
      <x:c r="B11" t="inlineStr">
        <x:is>
          <x:t xml:space="preserve">ABSOLUTE_DAMAGE_IGNORES_MODIFIERS</x:t>
        </x:is>
      </x:c>
      <x:c r="C11" s="4" t="b">
        <x:v>1</x:v>
      </x:c>
      <x:c r="D11" t="inlineStr">
        <x:is>
          <x:t xml:space="preserve">bool</x:t>
        </x:is>
      </x:c>
      <x:c r="E11" s="6" t="inlineStr">
        <x:is>
          <x:t xml:space="preserve">绝对伤害直接扣 HP，不受盾、预见、守护等影响。</x:t>
        </x:is>
      </x:c>
    </x:row>
    <x:row r="12" ht="36" customHeight="1">
      <x:c r="A12" t="inlineStr">
        <x:is>
          <x:t xml:space="preserve">盾牌规则</x:t>
        </x:is>
      </x:c>
      <x:c r="B12" t="inlineStr">
        <x:is>
          <x:t xml:space="preserve">FIRST_SHIELD_COST</x:t>
        </x:is>
      </x:c>
      <x:c r="C12" s="4">
        <x:v>2</x:v>
      </x:c>
      <x:c r="D12" t="inlineStr">
        <x:is>
          <x:t xml:space="preserve">AP</x:t>
        </x:is>
      </x:c>
      <x:c r="E12" s="6" t="inlineStr">
        <x:is>
          <x:t xml:space="preserve">首层防御消耗。</x:t>
        </x:is>
      </x:c>
    </x:row>
    <x:row r="13" ht="36" customHeight="1">
      <x:c r="A13" t="inlineStr">
        <x:is>
          <x:t xml:space="preserve">盾牌规则</x:t>
        </x:is>
      </x:c>
      <x:c r="B13" t="inlineStr">
        <x:is>
          <x:t xml:space="preserve">FIRST_SHIELD_GAIN</x:t>
        </x:is>
      </x:c>
      <x:c r="C13" s="4">
        <x:v>2</x:v>
      </x:c>
      <x:c r="D13" t="inlineStr">
        <x:is>
          <x:t xml:space="preserve">shield</x:t>
        </x:is>
      </x:c>
      <x:c r="E13" s="6" t="inlineStr">
        <x:is>
          <x:t xml:space="preserve">首层获得全队共享盾值。</x:t>
        </x:is>
      </x:c>
    </x:row>
    <x:row r="14" ht="36" customHeight="1">
      <x:c r="A14" t="inlineStr">
        <x:is>
          <x:t xml:space="preserve">盾牌规则</x:t>
        </x:is>
      </x:c>
      <x:c r="B14" t="inlineStr">
        <x:is>
          <x:t xml:space="preserve">REINFORCED_SHIELD_COST</x:t>
        </x:is>
      </x:c>
      <x:c r="C14" s="4">
        <x:v>1</x:v>
      </x:c>
      <x:c r="D14" t="inlineStr">
        <x:is>
          <x:t xml:space="preserve">AP</x:t>
        </x:is>
      </x:c>
      <x:c r="E14" s="6" t="inlineStr">
        <x:is>
          <x:t xml:space="preserve">若当前共享盾仍存在，再次防御的消耗。</x:t>
        </x:is>
      </x:c>
    </x:row>
    <x:row r="15" ht="36" customHeight="1">
      <x:c r="A15" t="inlineStr">
        <x:is>
          <x:t xml:space="preserve">盾牌规则</x:t>
        </x:is>
      </x:c>
      <x:c r="B15" t="inlineStr">
        <x:is>
          <x:t xml:space="preserve">REINFORCED_SHIELD_GAIN</x:t>
        </x:is>
      </x:c>
      <x:c r="C15" s="4">
        <x:v>2</x:v>
      </x:c>
      <x:c r="D15" t="inlineStr">
        <x:is>
          <x:t xml:space="preserve">shield</x:t>
        </x:is>
      </x:c>
      <x:c r="E15" s="6" t="inlineStr">
        <x:is>
          <x:t xml:space="preserve">二层不是固定到 4，而是在现有盾值上 +2。</x:t>
        </x:is>
      </x:c>
    </x:row>
    <x:row r="16" ht="36" customHeight="1">
      <x:c r="A16" t="inlineStr">
        <x:is>
          <x:t xml:space="preserve">盾牌规则</x:t>
        </x:is>
      </x:c>
      <x:c r="B16" t="inlineStr">
        <x:is>
          <x:t xml:space="preserve">REINFORCED_COUNTER_DEBUFF</x:t>
        </x:is>
      </x:c>
      <x:c r="C16" s="4">
        <x:v>-1</x:v>
      </x:c>
      <x:c r="D16" t="inlineStr">
        <x:is>
          <x:t xml:space="preserve">counter damage</x:t>
        </x:is>
      </x:c>
      <x:c r="E16" s="6" t="inlineStr">
        <x:is>
          <x:t xml:space="preserve">二层盾赋予一次反击伤害 -1 的可见 Debuff。</x:t>
        </x:is>
      </x:c>
    </x:row>
    <x:row r="17" ht="36" customHeight="1">
      <x:c r="A17" t="inlineStr">
        <x:is>
          <x:t xml:space="preserve">概率规则</x:t>
        </x:is>
      </x:c>
      <x:c r="B17" t="inlineStr">
        <x:is>
          <x:t xml:space="preserve">ORACLE_PHYSICAL_REDUCTION_CHANCE</x:t>
        </x:is>
      </x:c>
      <x:c r="C17" s="9">
        <x:v>0.25</x:v>
      </x:c>
      <x:c r="D17" t="inlineStr">
        <x:is>
          <x:t xml:space="preserve">probability</x:t>
        </x:is>
      </x:c>
      <x:c r="E17" s="6" t="inlineStr">
        <x:is>
          <x:t xml:space="preserve">占卜师预见：物理伤害每次独立 25% 减 1。</x:t>
        </x:is>
      </x:c>
    </x:row>
    <x:row r="18" ht="36" customHeight="1">
      <x:c r="A18" t="inlineStr">
        <x:is>
          <x:t xml:space="preserve">概率规则</x:t>
        </x:is>
      </x:c>
      <x:c r="B18" t="inlineStr">
        <x:is>
          <x:t xml:space="preserve">ORACLE_MAGIC_REDUCTION_CHANCE</x:t>
        </x:is>
      </x:c>
      <x:c r="C18" s="9">
        <x:v>0.5</x:v>
      </x:c>
      <x:c r="D18" t="inlineStr">
        <x:is>
          <x:t xml:space="preserve">probability</x:t>
        </x:is>
      </x:c>
      <x:c r="E18" s="6" t="inlineStr">
        <x:is>
          <x:t xml:space="preserve">占卜师预见：魔法伤害每次独立 50% 减 1。</x:t>
        </x:is>
      </x:c>
    </x:row>
    <x:row r="19" ht="36" customHeight="1">
      <x:c r="A19" t="inlineStr">
        <x:is>
          <x:t xml:space="preserve">声音规则</x:t>
        </x:is>
      </x:c>
      <x:c r="B19" t="inlineStr">
        <x:is>
          <x:t xml:space="preserve">LOW_HP_RATIO</x:t>
        </x:is>
      </x:c>
      <x:c r="C19" s="9">
        <x:v>0.25</x:v>
      </x:c>
      <x:c r="D19" t="inlineStr">
        <x:is>
          <x:t xml:space="preserve">ratio</x:t>
        </x:is>
      </x:c>
      <x:c r="E19" s="6" t="inlineStr">
        <x:is>
          <x:t xml:space="preserve">select-low-hp 阈值：当前 HP &lt;= ceil(MaxHP * 25%)。</x:t>
        </x:is>
      </x:c>
    </x:row>
    <x:row r="20" ht="36" customHeight="1">
      <x:c r="A20" t="inlineStr">
        <x:is>
          <x:t xml:space="preserve">声音规则</x:t>
        </x:is>
      </x:c>
      <x:c r="B20" t="inlineStr">
        <x:is>
          <x:t xml:space="preserve">HEAVY_DAMAGE_RATIO</x:t>
        </x:is>
      </x:c>
      <x:c r="C20" s="9">
        <x:v>0.25</x:v>
      </x:c>
      <x:c r="D20" t="inlineStr">
        <x:is>
          <x:t xml:space="preserve">ratio</x:t>
        </x:is>
      </x:c>
      <x:c r="E20" s="6" t="inlineStr">
        <x:is>
          <x:t xml:space="preserve">heavy-damage-taken 阈值：单次实际 HP 伤害 &gt;= MaxHP * 25%。</x:t>
        </x:is>
      </x:c>
    </x:row>
    <x:row r="21" ht="36" customHeight="1">
      <x:c r="A21" t="inlineStr">
        <x:is>
          <x:t xml:space="preserve">公式权重</x:t>
        </x:is>
      </x:c>
      <x:c r="B21" t="inlineStr">
        <x:is>
          <x:t xml:space="preserve">BASE_BULK_ATTACK_WEIGHT</x:t>
        </x:is>
      </x:c>
      <x:c r="C21" s="4">
        <x:v>2</x:v>
      </x:c>
      <x:c r="D21" t="inlineStr">
        <x:is>
          <x:t xml:space="preserve">weight</x:t>
        </x:is>
      </x:c>
      <x:c r="E21" s="6" t="inlineStr">
        <x:is>
          <x:t xml:space="preserve">基础体量公式：ATK * 2 + HP。沿用现有 Balance MD。</x:t>
        </x:is>
      </x:c>
    </x:row>
    <x:row r="22" ht="36" customHeight="1">
      <x:c r="A22" t="inlineStr">
        <x:is>
          <x:t xml:space="preserve">公式权重</x:t>
        </x:is>
      </x:c>
      <x:c r="B22" t="inlineStr">
        <x:is>
          <x:t xml:space="preserve">BASE_POWER_ATTACK_WEIGHT</x:t>
        </x:is>
      </x:c>
      <x:c r="C22" s="4">
        <x:v>3</x:v>
      </x:c>
      <x:c r="D22" t="inlineStr">
        <x:is>
          <x:t xml:space="preserve">weight</x:t>
        </x:is>
      </x:c>
      <x:c r="E22" s="6" t="inlineStr">
        <x:is>
          <x:t xml:space="preserve">Draft Base Power 中攻击的粗估权重；非最终平衡判断。</x:t>
        </x:is>
      </x:c>
    </x:row>
    <x:row r="23" ht="36" customHeight="1">
      <x:c r="A23" t="inlineStr">
        <x:is>
          <x:t xml:space="preserve">公式权重</x:t>
        </x:is>
      </x:c>
      <x:c r="B23" t="inlineStr">
        <x:is>
          <x:t xml:space="preserve">BASE_POWER_HP_WEIGHT</x:t>
        </x:is>
      </x:c>
      <x:c r="C23" s="9">
        <x:v>0.45</x:v>
      </x:c>
      <x:c r="D23" t="inlineStr">
        <x:is>
          <x:t xml:space="preserve">weight</x:t>
        </x:is>
      </x:c>
      <x:c r="E23" s="6" t="inlineStr">
        <x:is>
          <x:t xml:space="preserve">Draft Base Power 中 HP 的粗估权重；HP 不消耗 AP，故低于攻击。</x:t>
        </x:is>
      </x:c>
    </x:row>
    <x:row r="24" ht="36" customHeight="1">
      <x:c r="A24" t="inlineStr">
        <x:is>
          <x:t xml:space="preserve">公式权重</x:t>
        </x:is>
      </x:c>
      <x:c r="B24" t="inlineStr">
        <x:is>
          <x:t xml:space="preserve">BASE_POWER_FLEX_WEIGHT</x:t>
        </x:is>
      </x:c>
      <x:c r="C24" s="4">
        <x:v>2</x:v>
      </x:c>
      <x:c r="D24" t="inlineStr">
        <x:is>
          <x:t xml:space="preserve">weight</x:t>
        </x:is>
      </x:c>
      <x:c r="E24" s="6" t="inlineStr">
        <x:is>
          <x:t xml:space="preserve">Draft Base Power 中剩余 AP 灵活性的粗估权重。</x:t>
        </x:is>
      </x:c>
    </x:row>
    <x:row r="25" ht="36" customHeight="1">
      <x:c r="A25" t="inlineStr">
        <x:is>
          <x:t xml:space="preserve">公式权重</x:t>
        </x:is>
      </x:c>
      <x:c r="B25" t="inlineStr">
        <x:is>
          <x:t xml:space="preserve">SKILL_DEFAULT_RELIABILITY</x:t>
        </x:is>
      </x:c>
      <x:c r="C25" s="9">
        <x:v>0.8</x:v>
      </x:c>
      <x:c r="D25" t="inlineStr">
        <x:is>
          <x:t xml:space="preserve">weight</x:t>
        </x:is>
      </x:c>
      <x:c r="E25" s="6" t="inlineStr">
        <x:is>
          <x:t xml:space="preserve">技能价值默认可靠性折扣；应由 playtest 回填。</x:t>
        </x:is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cols>
    <x:col min="1" max="1" width="16" customWidth="1"/>
    <x:col min="2" max="2" width="16" customWidth="1"/>
    <x:col min="3" max="3" width="34" customWidth="1"/>
    <x:col min="4" max="4" width="14" customWidth="1"/>
    <x:col min="5" max="5" width="10" customWidth="1"/>
    <x:col min="6" max="6" width="10" customWidth="1"/>
    <x:col min="7" max="7" width="10" customWidth="1"/>
    <x:col min="8" max="8" width="13" customWidth="1"/>
    <x:col min="9" max="9" width="13" customWidth="1"/>
    <x:col min="10" max="10" width="12" customWidth="1"/>
    <x:col min="11" max="11" width="12" customWidth="1"/>
    <x:col min="12" max="12" width="18" customWidth="1"/>
    <x:col min="13" max="13" width="12" customWidth="1"/>
    <x:col min="14" max="14" width="58" customWidth="1"/>
  </x:cols>
  <x:sheetData>
    <x:row r="1" ht="24" customHeight="1">
      <x:c r="A1" s="1" t="inlineStr">
        <x:is>
          <x:t xml:space="preserve">01 Hero Base — 当前 8 名英雄基础数值</x:t>
        </x:is>
      </x:c>
    </x:row>
    <x:row r="2" ht="40" customHeight="1">
      <x:c r="A2" s="2" t="inlineStr">
        <x:is>
          <x:t xml:space="preserve">基础体量沿用 ATK*2+HP；Draft Base Power 额外加入 AP 灵活性，只用于暴露可疑差距。角色不需要无技能阶段完全等强。</x:t>
        </x:is>
      </x:c>
    </x:row>
    <x:row r="3">
      <x:c r="O3" s="22" t="str">
        <x:v>V1.18 防御</x:v>
      </x:c>
      <x:c r="P3" s="22" t="str">
        <x:v>V1.18 防御</x:v>
      </x:c>
    </x:row>
    <x:row r="4" ht="32" customHeight="1">
      <x:c r="A4" s="3" t="inlineStr">
        <x:is>
          <x:t xml:space="preserve">ID</x:t>
        </x:is>
      </x:c>
      <x:c r="B4" s="3" t="inlineStr">
        <x:is>
          <x:t xml:space="preserve">日文名</x:t>
        </x:is>
      </x:c>
      <x:c r="C4" s="3" t="inlineStr">
        <x:is>
          <x:t xml:space="preserve">中文定位</x:t>
        </x:is>
      </x:c>
      <x:c r="D4" s="3" t="inlineStr">
        <x:is>
          <x:t xml:space="preserve">攻击类型</x:t>
        </x:is>
      </x:c>
      <x:c r="E4" s="3" t="inlineStr">
        <x:is>
          <x:t xml:space="preserve">Cost</x:t>
        </x:is>
      </x:c>
      <x:c r="F4" s="3" t="inlineStr">
        <x:is>
          <x:t xml:space="preserve">ATK</x:t>
        </x:is>
      </x:c>
      <x:c r="G4" s="3" t="inlineStr">
        <x:is>
          <x:t xml:space="preserve">HP</x:t>
        </x:is>
      </x:c>
      <x:c r="H4" s="3" t="inlineStr">
        <x:is>
          <x:t xml:space="preserve">基础体量</x:t>
        </x:is>
      </x:c>
      <x:c r="I4" s="3" t="inlineStr">
        <x:is>
          <x:t xml:space="preserve">Cost修正</x:t>
        </x:is>
      </x:c>
      <x:c r="J4" s="3" t="inlineStr">
        <x:is>
          <x:t xml:space="preserve">ATK/Cost</x:t>
        </x:is>
      </x:c>
      <x:c r="K4" s="3" t="inlineStr">
        <x:is>
          <x:t xml:space="preserve">HP/Cost</x:t>
        </x:is>
      </x:c>
      <x:c r="L4" s="3" t="inlineStr">
        <x:is>
          <x:t xml:space="preserve">Draft Base Power</x:t>
        </x:is>
      </x:c>
      <x:c r="M4" s="3" t="inlineStr">
        <x:is>
          <x:t xml:space="preserve">反击基准</x:t>
        </x:is>
      </x:c>
      <x:c r="N4" s="3" t="inlineStr">
        <x:is>
          <x:t xml:space="preserve">观察重点</x:t>
        </x:is>
      </x:c>
      <x:c r="O4" s="16" t="str">
        <x:v>P.DEF</x:v>
      </x:c>
      <x:c r="P4" s="16" t="str">
        <x:v>M.DEF</x:v>
      </x:c>
    </x:row>
    <x:row r="5" ht="44" customHeight="1">
      <x:c r="A5" t="inlineStr">
        <x:is>
          <x:t xml:space="preserve">peasant</x:t>
        </x:is>
      </x:c>
      <x:c r="B5" t="inlineStr">
        <x:is>
          <x:t xml:space="preserve">農民</x:t>
        </x:is>
      </x:c>
      <x:c r="C5" s="6" t="inlineStr">
        <x:is>
          <x:t xml:space="preserve">轻便普通战力；播种/收获规划</x:t>
        </x:is>
      </x:c>
      <x:c r="D5" t="inlineStr">
        <x:is>
          <x:t xml:space="preserve">Physical</x:t>
        </x:is>
      </x:c>
      <x:c r="E5" s="8">
        <x:v>1</x:v>
      </x:c>
      <x:c r="F5" s="8">
        <x:v>2</x:v>
      </x:c>
      <x:c r="G5" s="8">
        <x:v>16</x:v>
      </x:c>
      <x:c r="H5" s="5" t="n">
        <x:f>F5*'00_Assumptions'!$C$21+G5</x:f>
        <x:v>20</x:v>
      </x:c>
      <x:c r="I5" s="5" t="n">
        <x:f>'00_Assumptions'!$C$5-E5</x:f>
        <x:v>4</x:v>
      </x:c>
      <x:c r="J5" s="5" t="n">
        <x:f>IF(E5=0,0,F5/E5)</x:f>
        <x:v>2</x:v>
      </x:c>
      <x:c r="K5" s="5" t="n">
        <x:f>IF(E5=0,0,G5/E5)</x:f>
        <x:v>16</x:v>
      </x:c>
      <x:c r="L5" s="5" t="n">
        <x:f>F5*'00_Assumptions'!$C$22+G5*'00_Assumptions'!$C$23+I5*'00_Assumptions'!$C$24</x:f>
        <x:v>21.2</x:v>
      </x:c>
      <x:c r="M5" s="5" t="n">
        <x:f>MAX(0,F5-'00_Assumptions'!$C$10)</x:f>
        <x:v>1</x:v>
      </x:c>
      <x:c r="N5" s="6" t="inlineStr">
        <x:is>
          <x:t xml:space="preserve">Cost1 物理；收益依赖隔回合强化是否能安全收获。</x:t>
        </x:is>
      </x:c>
      <x:c r="O5" s="19" t="n">
        <x:v>0</x:v>
      </x:c>
      <x:c r="P5" s="19" t="n">
        <x:v>0</x:v>
      </x:c>
    </x:row>
    <x:row r="6" ht="44" customHeight="1">
      <x:c r="A6" t="inlineStr">
        <x:is>
          <x:t xml:space="preserve">princess</x:t>
        </x:is>
      </x:c>
      <x:c r="B6" t="inlineStr">
        <x:is>
          <x:t xml:space="preserve">姫</x:t>
        </x:is>
      </x:c>
      <x:c r="C6" s="6" t="inlineStr">
        <x:is>
          <x:t xml:space="preserve">低面板治疗核心；保护目标</x:t>
        </x:is>
      </x:c>
      <x:c r="D6" t="inlineStr">
        <x:is>
          <x:t xml:space="preserve">Physical</x:t>
        </x:is>
      </x:c>
      <x:c r="E6" s="8">
        <x:v>1</x:v>
      </x:c>
      <x:c r="F6" s="8">
        <x:v>1</x:v>
      </x:c>
      <x:c r="G6" s="8">
        <x:v>12</x:v>
      </x:c>
      <x:c r="H6" s="5" t="n">
        <x:f>F6*'00_Assumptions'!$C$21+G6</x:f>
        <x:v>14</x:v>
      </x:c>
      <x:c r="I6" s="5" t="n">
        <x:f>'00_Assumptions'!$C$5-E6</x:f>
        <x:v>4</x:v>
      </x:c>
      <x:c r="J6" s="5" t="n">
        <x:f>IF(E6=0,0,F6/E6)</x:f>
        <x:v>1</x:v>
      </x:c>
      <x:c r="K6" s="5" t="n">
        <x:f>IF(E6=0,0,G6/E6)</x:f>
        <x:v>12</x:v>
      </x:c>
      <x:c r="L6" s="5" t="n">
        <x:f>F6*'00_Assumptions'!$C$22+G6*'00_Assumptions'!$C$23+I6*'00_Assumptions'!$C$24</x:f>
        <x:v>16.4</x:v>
      </x:c>
      <x:c r="M6" s="5" t="n">
        <x:f>MAX(0,F6-'00_Assumptions'!$C$10)</x:f>
        <x:v>0</x:v>
      </x:c>
      <x:c r="N6" s="6" t="inlineStr">
        <x:is>
          <x:t xml:space="preserve">基础最弱，但全队治疗能补强；要观察是否仍被先手集火。</x:t>
        </x:is>
      </x:c>
      <x:c r="O6" s="19" t="n">
        <x:v>0</x:v>
      </x:c>
      <x:c r="P6" s="19" t="n">
        <x:v>0</x:v>
      </x:c>
    </x:row>
    <x:row r="7" ht="44" customHeight="1">
      <x:c r="A7" t="inlineStr">
        <x:is>
          <x:t xml:space="preserve">mage</x:t>
        </x:is>
      </x:c>
      <x:c r="B7" t="inlineStr">
        <x:is>
          <x:t xml:space="preserve">魔法使い</x:t>
        </x:is>
      </x:c>
      <x:c r="C7" s="6" t="inlineStr">
        <x:is>
          <x:t xml:space="preserve">高魔法输出；燃烧延迟伤害</x:t>
        </x:is>
      </x:c>
      <x:c r="D7" t="inlineStr">
        <x:is>
          <x:t xml:space="preserve">Magical</x:t>
        </x:is>
      </x:c>
      <x:c r="E7" s="8">
        <x:v>2</x:v>
      </x:c>
      <x:c r="F7" s="8">
        <x:v>4</x:v>
      </x:c>
      <x:c r="G7" s="8">
        <x:v>16</x:v>
      </x:c>
      <x:c r="H7" s="5" t="n">
        <x:f>F7*'00_Assumptions'!$C$21+G7</x:f>
        <x:v>24</x:v>
      </x:c>
      <x:c r="I7" s="5" t="n">
        <x:f>'00_Assumptions'!$C$5-E7</x:f>
        <x:v>3</x:v>
      </x:c>
      <x:c r="J7" s="5" t="n">
        <x:f>IF(E7=0,0,F7/E7)</x:f>
        <x:v>2</x:v>
      </x:c>
      <x:c r="K7" s="5" t="n">
        <x:f>IF(E7=0,0,G7/E7)</x:f>
        <x:v>8</x:v>
      </x:c>
      <x:c r="L7" s="5" t="n">
        <x:f>F7*'00_Assumptions'!$C$22+G7*'00_Assumptions'!$C$23+I7*'00_Assumptions'!$C$24</x:f>
        <x:v>25.2</x:v>
      </x:c>
      <x:c r="M7" s="5" t="n">
        <x:f>MAX(0,F7-'00_Assumptions'!$C$10)</x:f>
        <x:v>3</x:v>
      </x:c>
      <x:c r="N7" s="6" t="inlineStr">
        <x:is>
          <x:t xml:space="preserve">高攻击低耐久占比；与占卜师魔法增伤直接协同。</x:t>
        </x:is>
      </x:c>
      <x:c r="O7" s="19" t="n">
        <x:v>0</x:v>
      </x:c>
      <x:c r="P7" s="19" t="n">
        <x:v>0</x:v>
      </x:c>
    </x:row>
    <x:row r="8" ht="44" customHeight="1">
      <x:c r="A8" t="inlineStr">
        <x:is>
          <x:t xml:space="preserve">oracle</x:t>
        </x:is>
      </x:c>
      <x:c r="B8" t="inlineStr">
        <x:is>
          <x:t xml:space="preserve">占い師</x:t>
        </x:is>
      </x:c>
      <x:c r="C8" s="6" t="inlineStr">
        <x:is>
          <x:t xml:space="preserve">全队概率减伤；魔法队引擎</x:t>
        </x:is>
      </x:c>
      <x:c r="D8" t="inlineStr">
        <x:is>
          <x:t xml:space="preserve">Magical</x:t>
        </x:is>
      </x:c>
      <x:c r="E8" s="8">
        <x:v>1</x:v>
      </x:c>
      <x:c r="F8" s="8">
        <x:v>1</x:v>
      </x:c>
      <x:c r="G8" s="8">
        <x:v>14</x:v>
      </x:c>
      <x:c r="H8" s="5" t="n">
        <x:f>F8*'00_Assumptions'!$C$21+G8</x:f>
        <x:v>16</x:v>
      </x:c>
      <x:c r="I8" s="5" t="n">
        <x:f>'00_Assumptions'!$C$5-E8</x:f>
        <x:v>4</x:v>
      </x:c>
      <x:c r="J8" s="5" t="n">
        <x:f>IF(E8=0,0,F8/E8)</x:f>
        <x:v>1</x:v>
      </x:c>
      <x:c r="K8" s="5" t="n">
        <x:f>IF(E8=0,0,G8/E8)</x:f>
        <x:v>14</x:v>
      </x:c>
      <x:c r="L8" s="5" t="n">
        <x:f>F8*'00_Assumptions'!$C$22+G8*'00_Assumptions'!$C$23+I8*'00_Assumptions'!$C$24</x:f>
        <x:v>17.3</x:v>
      </x:c>
      <x:c r="M8" s="5" t="n">
        <x:f>MAX(0,F8-'00_Assumptions'!$C$10)</x:f>
        <x:v>0</x:v>
      </x:c>
      <x:c r="N8" s="6" t="inlineStr">
        <x:is>
          <x:t xml:space="preserve">低面板强 aura；需要观察魔法队是否过强。</x:t>
        </x:is>
      </x:c>
      <x:c r="O8" s="19" t="n">
        <x:v>0</x:v>
      </x:c>
      <x:c r="P8" s="19" t="n">
        <x:v>1</x:v>
      </x:c>
    </x:row>
    <x:row r="9" ht="44" customHeight="1">
      <x:c r="A9" t="inlineStr">
        <x:is>
          <x:t xml:space="preserve">knight</x:t>
        </x:is>
      </x:c>
      <x:c r="B9" t="inlineStr">
        <x:is>
          <x:t xml:space="preserve">騎士</x:t>
        </x:is>
      </x:c>
      <x:c r="C9" s="6" t="inlineStr">
        <x:is>
          <x:t xml:space="preserve">重装守护；保护关键队友</x:t>
        </x:is>
      </x:c>
      <x:c r="D9" t="inlineStr">
        <x:is>
          <x:t xml:space="preserve">Physical</x:t>
        </x:is>
      </x:c>
      <x:c r="E9" s="8">
        <x:v>3</x:v>
      </x:c>
      <x:c r="F9" s="8">
        <x:v>3</x:v>
      </x:c>
      <x:c r="G9" s="8">
        <x:v>24</x:v>
      </x:c>
      <x:c r="H9" s="5" t="n">
        <x:f>F9*'00_Assumptions'!$C$21+G9</x:f>
        <x:v>30</x:v>
      </x:c>
      <x:c r="I9" s="5" t="n">
        <x:f>'00_Assumptions'!$C$5-E9</x:f>
        <x:v>2</x:v>
      </x:c>
      <x:c r="J9" s="5" t="n">
        <x:f>IF(E9=0,0,F9/E9)</x:f>
        <x:v>1</x:v>
      </x:c>
      <x:c r="K9" s="5" t="n">
        <x:f>IF(E9=0,0,G9/E9)</x:f>
        <x:v>8</x:v>
      </x:c>
      <x:c r="L9" s="5" t="n">
        <x:f>F9*'00_Assumptions'!$C$22+G9*'00_Assumptions'!$C$23+I9*'00_Assumptions'!$C$24</x:f>
        <x:v>23.8</x:v>
      </x:c>
      <x:c r="M9" s="5" t="n">
        <x:f>MAX(0,F9-'00_Assumptions'!$C$10)</x:f>
        <x:v>2</x:v>
      </x:c>
      <x:c r="N9" s="6" t="inlineStr">
        <x:is>
          <x:t xml:space="preserve">最高 HP；守护只对未被盾完全吸收的主动物理攻击生效。</x:t>
        </x:is>
      </x:c>
      <x:c r="O9" s="19" t="n">
        <x:v>1</x:v>
      </x:c>
      <x:c r="P9" s="19" t="n">
        <x:v>0</x:v>
      </x:c>
    </x:row>
    <x:row r="10" ht="44" customHeight="1">
      <x:c r="A10" t="inlineStr">
        <x:is>
          <x:t xml:space="preserve">druid</x:t>
        </x:is>
      </x:c>
      <x:c r="B10" t="inlineStr">
        <x:is>
          <x:t xml:space="preserve">ドルイド</x:t>
        </x:is>
      </x:c>
      <x:c r="C10" s="6" t="inlineStr">
        <x:is>
          <x:t xml:space="preserve">低费控制；驱散攻击强化</x:t>
        </x:is>
      </x:c>
      <x:c r="D10" t="inlineStr">
        <x:is>
          <x:t xml:space="preserve">Magical</x:t>
        </x:is>
      </x:c>
      <x:c r="E10" s="8">
        <x:v>1</x:v>
      </x:c>
      <x:c r="F10" s="8">
        <x:v>1</x:v>
      </x:c>
      <x:c r="G10" s="8">
        <x:v>16</x:v>
      </x:c>
      <x:c r="H10" s="5" t="n">
        <x:f>F10*'00_Assumptions'!$C$21+G10</x:f>
        <x:v>18</x:v>
      </x:c>
      <x:c r="I10" s="5" t="n">
        <x:f>'00_Assumptions'!$C$5-E10</x:f>
        <x:v>4</x:v>
      </x:c>
      <x:c r="J10" s="5" t="n">
        <x:f>IF(E10=0,0,F10/E10)</x:f>
        <x:v>1</x:v>
      </x:c>
      <x:c r="K10" s="5" t="n">
        <x:f>IF(E10=0,0,G10/E10)</x:f>
        <x:v>16</x:v>
      </x:c>
      <x:c r="L10" s="5" t="n">
        <x:f>F10*'00_Assumptions'!$C$22+G10*'00_Assumptions'!$C$23+I10*'00_Assumptions'!$C$24</x:f>
        <x:v>18.2</x:v>
      </x:c>
      <x:c r="M10" s="5" t="n">
        <x:f>MAX(0,F10-'00_Assumptions'!$C$10)</x:f>
        <x:v>0</x:v>
      </x:c>
      <x:c r="N10" s="6" t="inlineStr">
        <x:is>
          <x:t xml:space="preserve">低攻击但高控制；随机驱散可驱散 Buff + 延迟攻击-2。</x:t>
        </x:is>
      </x:c>
      <x:c r="O10" s="19" t="n">
        <x:v>0</x:v>
      </x:c>
      <x:c r="P10" s="19" t="n">
        <x:v>1</x:v>
      </x:c>
    </x:row>
    <x:row r="11" ht="44" customHeight="1">
      <x:c r="A11" t="inlineStr">
        <x:is>
          <x:t xml:space="preserve">barbarian</x:t>
        </x:is>
      </x:c>
      <x:c r="B11" t="inlineStr">
        <x:is>
          <x:t xml:space="preserve">バーバリアン</x:t>
        </x:is>
      </x:c>
      <x:c r="C11" s="6" t="inlineStr">
        <x:is>
          <x:t xml:space="preserve">2费高攻击；重击波及</x:t>
        </x:is>
      </x:c>
      <x:c r="D11" t="inlineStr">
        <x:is>
          <x:t xml:space="preserve">Physical</x:t>
        </x:is>
      </x:c>
      <x:c r="E11" s="8">
        <x:v>2</x:v>
      </x:c>
      <x:c r="F11" s="8">
        <x:v>4</x:v>
      </x:c>
      <x:c r="G11" s="8">
        <x:v>18</x:v>
      </x:c>
      <x:c r="H11" s="5" t="n">
        <x:f>F11*'00_Assumptions'!$C$21+G11</x:f>
        <x:v>26</x:v>
      </x:c>
      <x:c r="I11" s="5" t="n">
        <x:f>'00_Assumptions'!$C$5-E11</x:f>
        <x:v>3</x:v>
      </x:c>
      <x:c r="J11" s="5" t="n">
        <x:f>IF(E11=0,0,F11/E11)</x:f>
        <x:v>2</x:v>
      </x:c>
      <x:c r="K11" s="5" t="n">
        <x:f>IF(E11=0,0,G11/E11)</x:f>
        <x:v>9</x:v>
      </x:c>
      <x:c r="L11" s="5" t="n">
        <x:f>F11*'00_Assumptions'!$C$22+G11*'00_Assumptions'!$C$23+I11*'00_Assumptions'!$C$24</x:f>
        <x:v>26.1</x:v>
      </x:c>
      <x:c r="M11" s="5" t="n">
        <x:f>MAX(0,F11-'00_Assumptions'!$C$10)</x:f>
        <x:v>3</x:v>
      </x:c>
      <x:c r="N11" s="6" t="inlineStr">
        <x:is>
          <x:t xml:space="preserve">主动最终伤害 &gt;=3 时触发相邻余波。</x:t>
        </x:is>
      </x:c>
      <x:c r="O11" s="19" t="n">
        <x:v>0</x:v>
      </x:c>
      <x:c r="P11" s="19" t="n">
        <x:v>0</x:v>
      </x:c>
    </x:row>
    <x:row r="12" ht="44" customHeight="1">
      <x:c r="A12" t="inlineStr">
        <x:is>
          <x:t xml:space="preserve">monster</x:t>
        </x:is>
      </x:c>
      <x:c r="B12" t="inlineStr">
        <x:is>
          <x:t xml:space="preserve">モンスター</x:t>
        </x:is>
      </x:c>
      <x:c r="C12" s="6" t="inlineStr">
        <x:is>
          <x:t xml:space="preserve">重型威胁；反防御与公主联动</x:t>
        </x:is>
      </x:c>
      <x:c r="D12" t="inlineStr">
        <x:is>
          <x:t xml:space="preserve">Physical</x:t>
        </x:is>
      </x:c>
      <x:c r="E12" s="8">
        <x:v>3</x:v>
      </x:c>
      <x:c r="F12" s="8">
        <x:v>3</x:v>
      </x:c>
      <x:c r="G12" s="8">
        <x:v>22</x:v>
      </x:c>
      <x:c r="H12" s="5" t="n">
        <x:f>F12*'00_Assumptions'!$C$21+G12</x:f>
        <x:v>28</x:v>
      </x:c>
      <x:c r="I12" s="5" t="n">
        <x:f>'00_Assumptions'!$C$5-E12</x:f>
        <x:v>2</x:v>
      </x:c>
      <x:c r="J12" s="5" t="n">
        <x:f>IF(E12=0,0,F12/E12)</x:f>
        <x:v>1</x:v>
      </x:c>
      <x:c r="K12" s="5" t="n">
        <x:f>IF(E12=0,0,G12/E12)</x:f>
        <x:v>7.333333333333333</x:v>
      </x:c>
      <x:c r="L12" s="5" t="n">
        <x:f>F12*'00_Assumptions'!$C$22+G12*'00_Assumptions'!$C$23+I12*'00_Assumptions'!$C$24</x:f>
        <x:v>22.9</x:v>
      </x:c>
      <x:c r="M12" s="5" t="n">
        <x:f>MAX(0,F12-'00_Assumptions'!$C$10)</x:f>
        <x:v>2</x:v>
      </x:c>
      <x:c r="N12" s="6" t="inlineStr">
        <x:is>
          <x:t xml:space="preserve">0伤害触发绝对追击；己方公主存活/阵亡都改变价值。</x:t>
        </x:is>
      </x:c>
      <x:c r="O12" s="19" t="n">
        <x:v>1</x:v>
      </x:c>
      <x:c r="P12" s="19" t="n">
        <x:v>0</x:v>
      </x:c>
    </x:row>
  </x:sheetData>
  <x:mergeCells>
    <x:mergeCell ref="A1:N1"/>
    <x:mergeCell ref="A2:N2"/>
    <x:mergeCell ref="O3:P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cols>
    <x:col min="1" max="1" width="16" customWidth="1"/>
    <x:col min="2" max="2" width="16" customWidth="1"/>
    <x:col min="3" max="3" width="22" customWidth="1"/>
    <x:col min="4" max="4" width="12" customWidth="1"/>
    <x:col min="5" max="5" width="52" customWidth="1"/>
    <x:col min="6" max="6" width="13" customWidth="1"/>
    <x:col min="7" max="7" width="13" customWidth="1"/>
    <x:col min="8" max="8" width="13" customWidth="1"/>
    <x:col min="9" max="9" width="11" customWidth="1"/>
    <x:col min="10" max="10" width="16" customWidth="1"/>
    <x:col min="11" max="11" width="13" customWidth="1"/>
    <x:col min="12" max="12" width="13" customWidth="1"/>
    <x:col min="13" max="13" width="48" customWidth="1"/>
    <x:col min="14" max="14" width="48" customWidth="1"/>
  </x:cols>
  <x:sheetData>
    <x:row r="1" ht="24" customHeight="1">
      <x:c r="A1" s="1" t="inlineStr">
        <x:is>
          <x:t xml:space="preserve">02 Skill Value — 技能估值草案</x:t>
        </x:is>
      </x:c>
    </x:row>
    <x:row r="2" ht="40" customHeight="1">
      <x:c r="A2" s="2" t="inlineStr">
        <x:is>
          <x:t xml:space="preserve">Draft Skill Value = 可量化收益 × 概率/可靠性 × 延迟/条件折扣 × 影响范围。它只是第一眼比较工具，真正权重必须用 playtest 回填。</x:t>
        </x:is>
      </x:c>
    </x:row>
    <x:row r="3"/>
    <x:row r="4" ht="34" customHeight="1">
      <x:c r="A4" s="3" t="inlineStr">
        <x:is>
          <x:t xml:space="preserve">ID</x:t>
        </x:is>
      </x:c>
      <x:c r="B4" s="3" t="inlineStr">
        <x:is>
          <x:t xml:space="preserve">日文名</x:t>
        </x:is>
      </x:c>
      <x:c r="C4" s="3" t="inlineStr">
        <x:is>
          <x:t xml:space="preserve">Skill ID</x:t>
        </x:is>
      </x:c>
      <x:c r="D4" s="3" t="inlineStr">
        <x:is>
          <x:t xml:space="preserve">类型</x:t>
        </x:is>
      </x:c>
      <x:c r="E4" s="3" t="inlineStr">
        <x:is>
          <x:t xml:space="preserve">触发/时机</x:t>
        </x:is>
      </x:c>
      <x:c r="F4" s="3" t="inlineStr">
        <x:is>
          <x:t xml:space="preserve">可量化收益</x:t>
        </x:is>
      </x:c>
      <x:c r="G4" s="3" t="inlineStr">
        <x:is>
          <x:t xml:space="preserve">概率/可靠性</x:t>
        </x:is>
      </x:c>
      <x:c r="H4" s="3" t="inlineStr">
        <x:is>
          <x:t xml:space="preserve">延迟/条件折扣</x:t>
        </x:is>
      </x:c>
      <x:c r="I4" s="3" t="inlineStr">
        <x:is>
          <x:t xml:space="preserve">影响范围</x:t>
        </x:is>
      </x:c>
      <x:c r="J4" s="3" t="inlineStr">
        <x:is>
          <x:t xml:space="preserve">Draft Skill Value</x:t>
        </x:is>
      </x:c>
      <x:c r="K4" s="3" t="inlineStr">
        <x:is>
          <x:t xml:space="preserve">Base Power</x:t>
        </x:is>
      </x:c>
      <x:c r="L4" s="3" t="inlineStr">
        <x:is>
          <x:t xml:space="preserve">Draft Total</x:t>
        </x:is>
      </x:c>
      <x:c r="M4" s="3" t="inlineStr">
        <x:is>
          <x:t xml:space="preserve">主要协同</x:t>
        </x:is>
      </x:c>
      <x:c r="N4" s="3" t="inlineStr">
        <x:is>
          <x:t xml:space="preserve">主要反制/风险</x:t>
        </x:is>
      </x:c>
    </x:row>
    <x:row r="5" ht="58" customHeight="1">
      <x:c r="A5" t="inlineStr">
        <x:is>
          <x:t xml:space="preserve">peasant</x:t>
        </x:is>
      </x:c>
      <x:c r="B5" t="inlineStr">
        <x:is>
          <x:t xml:space="preserve">農民</x:t>
        </x:is>
      </x:c>
      <x:c r="C5" t="inlineStr">
        <x:is>
          <x:t xml:space="preserve">spring-harvest</x:t>
        </x:is>
      </x:c>
      <x:c r="D5" t="inlineStr">
        <x:is>
          <x:t xml:space="preserve">被动</x:t>
        </x:is>
      </x:c>
      <x:c r="E5" s="6" t="inlineStr">
        <x:is>
          <x:t xml:space="preserve">首行动攻击后播种；下次己方回合收获 ATK+2。</x:t>
        </x:is>
      </x:c>
      <x:c r="F5" s="8">
        <x:v>2.0</x:v>
      </x:c>
      <x:c r="G5" s="9">
        <x:v>1.0</x:v>
      </x:c>
      <x:c r="H5" s="9">
        <x:v>0.55</x:v>
      </x:c>
      <x:c r="I5" s="8">
        <x:v>1.0</x:v>
      </x:c>
      <x:c r="J5" s="5" t="n">
        <x:f>F5*G5*H5*I5</x:f>
        <x:v>1.1</x:v>
      </x:c>
      <x:c r="K5" s="5" t="n">
        <x:f>VLOOKUP(A5,'01_Hero_Base'!$A$5:$N$12,12,FALSE)</x:f>
        <x:v>21.2</x:v>
      </x:c>
      <x:c r="L5" s="5" t="n">
        <x:f>J5+K5</x:f>
        <x:v>22.3</x:v>
      </x:c>
      <x:c r="M5" s="6" t="inlineStr">
        <x:is>
          <x:t xml:space="preserve">AP5 下低费连动强；可被德鲁伊驱散。</x:t>
        </x:is>
      </x:c>
      <x:c r="N5" s="6" t="inlineStr">
        <x:is>
          <x:t xml:space="preserve">公开规划，容易被集火或驱散。</x:t>
        </x:is>
      </x:c>
    </x:row>
    <x:row r="6" ht="58" customHeight="1">
      <x:c r="A6" t="inlineStr">
        <x:is>
          <x:t xml:space="preserve">princess</x:t>
        </x:is>
      </x:c>
      <x:c r="B6" t="inlineStr">
        <x:is>
          <x:t xml:space="preserve">姫</x:t>
        </x:is>
      </x:c>
      <x:c r="C6" t="inlineStr">
        <x:is>
          <x:t xml:space="preserve">saints-prayer</x:t>
        </x:is>
      </x:c>
      <x:c r="D6" t="inlineStr">
        <x:is>
          <x:t xml:space="preserve">被动</x:t>
        </x:is>
      </x:c>
      <x:c r="E6" s="6" t="inlineStr">
        <x:is>
          <x:t xml:space="preserve">己方回合开始，全体存活角色 HP+1，最多超过上限 2。</x:t>
        </x:is>
      </x:c>
      <x:c r="F6" s="8">
        <x:v>1.0</x:v>
      </x:c>
      <x:c r="G6" s="9">
        <x:v>1.0</x:v>
      </x:c>
      <x:c r="H6" s="9">
        <x:v>0.9</x:v>
      </x:c>
      <x:c r="I6" s="8">
        <x:v>3.0</x:v>
      </x:c>
      <x:c r="J6" s="5" t="n">
        <x:f>F6*G6*H6*I6</x:f>
        <x:v>2.7</x:v>
      </x:c>
      <x:c r="K6" s="5" t="n">
        <x:f>VLOOKUP(A6,'01_Hero_Base'!$A$5:$N$12,12,FALSE)</x:f>
        <x:v>16.4</x:v>
      </x:c>
      <x:c r="L6" s="5" t="n">
        <x:f>J6+K6</x:f>
        <x:v>19.099999999999998</x:v>
      </x:c>
      <x:c r="M6" s="6" t="inlineStr">
        <x:is>
          <x:t xml:space="preserve">与骑士、怪物、长局面高度协同。</x:t>
        </x:is>
      </x:c>
      <x:c r="N6" s="6" t="inlineStr">
        <x:is>
          <x:t xml:space="preserve">自身 HP 低，可能成为先手集火目标。</x:t>
        </x:is>
      </x:c>
    </x:row>
    <x:row r="7" ht="58" customHeight="1">
      <x:c r="A7" t="inlineStr">
        <x:is>
          <x:t xml:space="preserve">mage</x:t>
        </x:is>
      </x:c>
      <x:c r="B7" t="inlineStr">
        <x:is>
          <x:t xml:space="preserve">魔法使い</x:t>
        </x:is>
      </x:c>
      <x:c r="C7" t="inlineStr">
        <x:is>
          <x:t xml:space="preserve">searing-mark</x:t>
        </x:is>
      </x:c>
      <x:c r="D7" t="inlineStr">
        <x:is>
          <x:t xml:space="preserve">主动</x:t>
        </x:is>
      </x:c>
      <x:c r="E7" s="6" t="inlineStr">
        <x:is>
          <x:t xml:space="preserve">攻击后 50% 附加燃烧；目标下次回合开始受魔法伤害。</x:t>
        </x:is>
      </x:c>
      <x:c r="F7" s="8">
        <x:v>1.0</x:v>
      </x:c>
      <x:c r="G7" s="9">
        <x:v>0.5</x:v>
      </x:c>
      <x:c r="H7" s="9">
        <x:v>0.75</x:v>
      </x:c>
      <x:c r="I7" s="8">
        <x:v>1.0</x:v>
      </x:c>
      <x:c r="J7" s="5" t="n">
        <x:f>F7*G7*H7*I7</x:f>
        <x:v>0.375</x:v>
      </x:c>
      <x:c r="K7" s="5" t="n">
        <x:f>VLOOKUP(A7,'01_Hero_Base'!$A$5:$N$12,12,FALSE)</x:f>
        <x:v>25.2</x:v>
      </x:c>
      <x:c r="L7" s="5" t="n">
        <x:f>J7+K7</x:f>
        <x:v>25.575</x:v>
      </x:c>
      <x:c r="M7" s="6" t="inlineStr">
        <x:is>
          <x:t xml:space="preserve">受占卜师魔法伤害 +1 影响。</x:t>
        </x:is>
      </x:c>
      <x:c r="N7" s="6" t="inlineStr">
        <x:is>
          <x:t xml:space="preserve">延迟伤害需用视觉和日志说清楚。</x:t>
        </x:is>
      </x:c>
    </x:row>
    <x:row r="8" ht="58" customHeight="1">
      <x:c r="A8" t="inlineStr">
        <x:is>
          <x:t xml:space="preserve">oracle</x:t>
        </x:is>
      </x:c>
      <x:c r="B8" t="inlineStr">
        <x:is>
          <x:t xml:space="preserve">占い師</x:t>
        </x:is>
      </x:c>
      <x:c r="C8" t="inlineStr">
        <x:is>
          <x:t xml:space="preserve">stargazers-aegis</x:t>
        </x:is>
      </x:c>
      <x:c r="D8" t="inlineStr">
        <x:is>
          <x:t xml:space="preserve">被动</x:t>
        </x:is>
      </x:c>
      <x:c r="E8" s="6" t="inlineStr">
        <x:is>
          <x:t xml:space="preserve">全队预见概率减伤；魔法攻击和燃烧 +1。</x:t>
        </x:is>
      </x:c>
      <x:c r="F8" s="8">
        <x:v>1.0</x:v>
      </x:c>
      <x:c r="G8" s="9">
        <x:v>0.7</x:v>
      </x:c>
      <x:c r="H8" s="9">
        <x:v>0.95</x:v>
      </x:c>
      <x:c r="I8" s="8">
        <x:v>3.5</x:v>
      </x:c>
      <x:c r="J8" s="5" t="n">
        <x:f>F8*G8*H8*I8</x:f>
        <x:v>2.3274999999999997</x:v>
      </x:c>
      <x:c r="K8" s="5" t="n">
        <x:f>VLOOKUP(A8,'01_Hero_Base'!$A$5:$N$12,12,FALSE)</x:f>
        <x:v>17.3</x:v>
      </x:c>
      <x:c r="L8" s="5" t="n">
        <x:f>J8+K8</x:f>
        <x:v>19.6275</x:v>
      </x:c>
      <x:c r="M8" s="6" t="inlineStr">
        <x:is>
          <x:t xml:space="preserve">魔法队引擎；增强 mage/druid。</x:t>
        </x:is>
      </x:c>
      <x:c r="N8" s="6" t="inlineStr">
        <x:is>
          <x:t xml:space="preserve">Aura 价值依赖队伍和对局长度。</x:t>
        </x:is>
      </x:c>
    </x:row>
    <x:row r="9" ht="58" customHeight="1">
      <x:c r="A9" t="inlineStr">
        <x:is>
          <x:t xml:space="preserve">knight</x:t>
        </x:is>
      </x:c>
      <x:c r="B9" t="inlineStr">
        <x:is>
          <x:t xml:space="preserve">騎士</x:t>
        </x:is>
      </x:c>
      <x:c r="C9" t="inlineStr">
        <x:is>
          <x:t xml:space="preserve">interposing-shield</x:t>
        </x:is>
      </x:c>
      <x:c r="D9" t="inlineStr">
        <x:is>
          <x:t xml:space="preserve">被动</x:t>
        </x:is>
      </x:c>
      <x:c r="E9" s="6" t="inlineStr">
        <x:is>
          <x:t xml:space="preserve">全队共享一次守护；只拦截骑士以外目标受到的主动物理攻击。</x:t>
        </x:is>
      </x:c>
      <x:c r="F9" s="8">
        <x:v>1.2</x:v>
      </x:c>
      <x:c r="G9" s="9">
        <x:v>0.7</x:v>
      </x:c>
      <x:c r="H9" s="9">
        <x:v>0.9</x:v>
      </x:c>
      <x:c r="I9" s="8">
        <x:v>1.5</x:v>
      </x:c>
      <x:c r="J9" s="5" t="n">
        <x:f>F9*G9*H9*I9</x:f>
        <x:v>1.134</x:v>
      </x:c>
      <x:c r="K9" s="5" t="n">
        <x:f>VLOOKUP(A9,'01_Hero_Base'!$A$5:$N$12,12,FALSE)</x:f>
        <x:v>23.8</x:v>
      </x:c>
      <x:c r="L9" s="5" t="n">
        <x:f>J9+K9</x:f>
        <x:v>24.934</x:v>
      </x:c>
      <x:c r="M9" s="6" t="inlineStr">
        <x:is>
          <x:t xml:space="preserve">保护公主/占卜师等低 HP 核心。</x:t>
        </x:is>
      </x:c>
      <x:c r="N9" s="6" t="inlineStr">
        <x:is>
          <x:t xml:space="preserve">盾完全吸收时不触发；不保护魔法/反击/技能。</x:t>
        </x:is>
      </x:c>
    </x:row>
    <x:row r="10" ht="58" customHeight="1">
      <x:c r="A10" t="inlineStr">
        <x:is>
          <x:t xml:space="preserve">druid</x:t>
        </x:is>
      </x:c>
      <x:c r="B10" t="inlineStr">
        <x:is>
          <x:t xml:space="preserve">ドルイド</x:t>
        </x:is>
      </x:c>
      <x:c r="C10" t="inlineStr">
        <x:is>
          <x:t xml:space="preserve">weakening-spores</x:t>
        </x:is>
      </x:c>
      <x:c r="D10" t="inlineStr">
        <x:is>
          <x:t xml:space="preserve">主动</x:t>
        </x:is>
      </x:c>
      <x:c r="E10" s="6" t="inlineStr">
        <x:is>
          <x:t xml:space="preserve">成功后随机移除一个可驱散攻击强化 Buff，并给予待机衰弱。</x:t>
        </x:is>
      </x:c>
      <x:c r="F10" s="8">
        <x:v>2.5</x:v>
      </x:c>
      <x:c r="G10" s="9">
        <x:v>0.75</x:v>
      </x:c>
      <x:c r="H10" s="9">
        <x:v>0.7</x:v>
      </x:c>
      <x:c r="I10" s="8">
        <x:v>1.0</x:v>
      </x:c>
      <x:c r="J10" s="5" t="n">
        <x:f>F10*G10*H10*I10</x:f>
        <x:v>1.3125</x:v>
      </x:c>
      <x:c r="K10" s="5" t="n">
        <x:f>VLOOKUP(A10,'01_Hero_Base'!$A$5:$N$12,12,FALSE)</x:f>
        <x:v>18.2</x:v>
      </x:c>
      <x:c r="L10" s="5" t="n">
        <x:f>J10+K10</x:f>
        <x:v>19.5125</x:v>
      </x:c>
      <x:c r="M10" s="6" t="inlineStr">
        <x:is>
          <x:t xml:space="preserve">反制农民收获、星読みの魔力等攻击强化。</x:t>
        </x:is>
      </x:c>
      <x:c r="N10" s="6" t="inlineStr">
        <x:is>
          <x:t xml:space="preserve">低 Cost 高频控制可能过强。</x:t>
        </x:is>
      </x:c>
    </x:row>
    <x:row r="11" ht="58" customHeight="1">
      <x:c r="A11" t="inlineStr">
        <x:is>
          <x:t xml:space="preserve">barbarian</x:t>
        </x:is>
      </x:c>
      <x:c r="B11" t="inlineStr">
        <x:is>
          <x:t xml:space="preserve">バーバリアン</x:t>
        </x:is>
      </x:c>
      <x:c r="C11" t="inlineStr">
        <x:is>
          <x:t xml:space="preserve">aftershock-axe</x:t>
        </x:is>
      </x:c>
      <x:c r="D11" t="inlineStr">
        <x:is>
          <x:t xml:space="preserve">主动</x:t>
        </x:is>
      </x:c>
      <x:c r="E11" s="6" t="inlineStr">
        <x:is>
          <x:t xml:space="preserve">主动最终伤害 &gt;=3 时，对相邻单位造成 1 物理技能伤害。</x:t>
        </x:is>
      </x:c>
      <x:c r="F11" s="8">
        <x:v>1.0</x:v>
      </x:c>
      <x:c r="G11" s="9">
        <x:v>0.65</x:v>
      </x:c>
      <x:c r="H11" s="9">
        <x:v>0.9</x:v>
      </x:c>
      <x:c r="I11" s="8">
        <x:v>1.0</x:v>
      </x:c>
      <x:c r="J11" s="5" t="n">
        <x:f>F11*G11*H11*I11</x:f>
        <x:v>0.5850000000000001</x:v>
      </x:c>
      <x:c r="K11" s="5" t="n">
        <x:f>VLOOKUP(A11,'01_Hero_Base'!$A$5:$N$12,12,FALSE)</x:f>
        <x:v>26.1</x:v>
      </x:c>
      <x:c r="L11" s="5" t="n">
        <x:f>J11+K11</x:f>
        <x:v>26.685000000000002</x:v>
      </x:c>
      <x:c r="M11" s="6" t="inlineStr">
        <x:is>
          <x:t xml:space="preserve">站位系统入口；惩罚贴脸排布。</x:t>
        </x:is>
      </x:c>
      <x:c r="N11" s="6" t="inlineStr">
        <x:is>
          <x:t xml:space="preserve">触发率受盾、预见、守护影响。</x:t>
        </x:is>
      </x:c>
    </x:row>
    <x:row r="12" ht="58" customHeight="1">
      <x:c r="A12" t="inlineStr">
        <x:is>
          <x:t xml:space="preserve">monster</x:t>
        </x:is>
      </x:c>
      <x:c r="B12" t="inlineStr">
        <x:is>
          <x:t xml:space="preserve">モンスター</x:t>
        </x:is>
      </x:c>
      <x:c r="C12" t="inlineStr">
        <x:is>
          <x:t xml:space="preserve">predatory-instinct</x:t>
        </x:is>
      </x:c>
      <x:c r="D12" t="inlineStr">
        <x:is>
          <x:t xml:space="preserve">主动/条件强化</x:t>
        </x:is>
      </x:c>
      <x:c r="E12" s="6" t="inlineStr">
        <x:is>
          <x:t xml:space="preserve">攻击非公主目标且主动伤害为 0 时，追加绝对伤害。</x:t>
        </x:is>
      </x:c>
      <x:c r="F12" s="8">
        <x:v>3.5</x:v>
      </x:c>
      <x:c r="G12" s="9">
        <x:v>0.45</x:v>
      </x:c>
      <x:c r="H12" s="9">
        <x:v>0.85</x:v>
      </x:c>
      <x:c r="I12" s="8">
        <x:v>1.0</x:v>
      </x:c>
      <x:c r="J12" s="5" t="n">
        <x:f>F12*G12*H12*I12</x:f>
        <x:v>1.3387499999999999</x:v>
      </x:c>
      <x:c r="K12" s="5" t="n">
        <x:f>VLOOKUP(A12,'01_Hero_Base'!$A$5:$N$12,12,FALSE)</x:f>
        <x:v>22.9</x:v>
      </x:c>
      <x:c r="L12" s="5" t="n">
        <x:f>J12+K12</x:f>
        <x:v>24.23875</x:v>
      </x:c>
      <x:c r="M12" s="6" t="inlineStr">
        <x:is>
          <x:t xml:space="preserve">反制盾/预见导致的 0 伤害；与公主联动。</x:t>
        </x:is>
      </x:c>
      <x:c r="N12" s="6" t="inlineStr">
        <x:is>
          <x:t xml:space="preserve">绝对伤害绕过太多系统，必须严控触发频率。</x:t>
        </x:is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cols>
    <x:col min="1" max="1" width="14" customWidth="1"/>
    <x:col min="2" max="2" width="14" customWidth="1"/>
    <x:col min="3" max="3" width="10" customWidth="1"/>
    <x:col min="4" max="4" width="12" customWidth="1"/>
    <x:col min="5" max="5" width="12" customWidth="1"/>
    <x:col min="6" max="6" width="12" customWidth="1"/>
    <x:col min="7" max="7" width="13" customWidth="1"/>
    <x:col min="8" max="8" width="15" customWidth="1"/>
    <x:col min="9" max="9" width="16" customWidth="1"/>
    <x:col min="10" max="10" width="12" customWidth="1"/>
    <x:col min="11" max="11" width="12" customWidth="1"/>
    <x:col min="12" max="12" width="13" customWidth="1"/>
    <x:col min="13" max="13" width="13" customWidth="1"/>
    <x:col min="14" max="14" width="28" customWidth="1"/>
  </x:cols>
  <x:sheetData>
    <x:row r="1" ht="24" customHeight="1">
      <x:c r="A1" s="1" t="inlineStr">
        <x:is>
          <x:t xml:space="preserve">03 Combat Exchange — 无技能/无盾基础交换矩阵</x:t>
        </x:is>
      </x:c>
    </x:row>
    <x:row r="2" ht="40" customHeight="1">
      <x:c r="A2" s="2" t="inlineStr">
        <x:is>
          <x:t xml:space="preserve">64 组 Attacker × Defender 基础交换。未计入盾、预见、守护、技能、站位、击杀后续收益；用于观察主动伤害 vs 反击风险。</x:t>
        </x:is>
      </x:c>
    </x:row>
    <x:row r="3"/>
    <x:row r="4" ht="32" customHeight="1">
      <x:c r="A4" s="3" t="inlineStr">
        <x:is>
          <x:t xml:space="preserve">Attacker</x:t>
        </x:is>
      </x:c>
      <x:c r="B4" s="3" t="inlineStr">
        <x:is>
          <x:t xml:space="preserve">Defender</x:t>
        </x:is>
      </x:c>
      <x:c r="C4" s="3" t="inlineStr">
        <x:is>
          <x:t xml:space="preserve">Atk Cost</x:t>
        </x:is>
      </x:c>
      <x:c r="D4" s="3" t="inlineStr">
        <x:is>
          <x:t xml:space="preserve">Attacker ATK</x:t>
        </x:is>
      </x:c>
      <x:c r="E4" s="3" t="inlineStr">
        <x:is>
          <x:t xml:space="preserve">Defender ATK</x:t>
        </x:is>
      </x:c>
      <x:c r="F4" s="3" t="inlineStr">
        <x:is>
          <x:t xml:space="preserve">Defender HP</x:t>
        </x:is>
      </x:c>
      <x:c r="G4" s="3" t="inlineStr">
        <x:is>
          <x:t xml:space="preserve">Attack Type</x:t>
        </x:is>
      </x:c>
      <x:c r="H4" s="3" t="inlineStr">
        <x:is>
          <x:t xml:space="preserve">Raw Attack Damage</x:t>
        </x:is>
      </x:c>
      <x:c r="I4" s="3" t="inlineStr">
        <x:is>
          <x:t xml:space="preserve">Raw Counter Damage</x:t>
        </x:is>
      </x:c>
      <x:c r="J4" s="3" t="inlineStr">
        <x:is>
          <x:t xml:space="preserve">Damage Diff</x:t>
        </x:is>
      </x:c>
      <x:c r="K4" s="3" t="inlineStr">
        <x:is>
          <x:t xml:space="preserve">Damage/AP</x:t>
        </x:is>
      </x:c>
      <x:c r="L4" s="3" t="inlineStr">
        <x:is>
          <x:t xml:space="preserve">Attacks To KO</x:t>
        </x:is>
      </x:c>
      <x:c r="M4" s="3" t="inlineStr">
        <x:is>
          <x:t xml:space="preserve">Counter Threat</x:t>
        </x:is>
      </x:c>
      <x:c r="N4" s="24" t="str">
        <x:v>Defender P.DEF</x:v>
      </x:c>
      <x:c r="O4" s="16" t="str">
        <x:v>Defender M.DEF</x:v>
      </x:c>
      <x:c r="P4" s="16" t="str">
        <x:v>Defense Used</x:v>
      </x:c>
      <x:c r="Q4" s="16" t="str">
        <x:v>Attack Damage After Defense</x:v>
      </x:c>
      <x:c r="R4" s="16" t="str">
        <x:v>Attacks To KO After Defense</x:v>
      </x:c>
    </x:row>
    <x:row r="5">
      <x:c r="A5" t="inlineStr">
        <x:is>
          <x:t xml:space="preserve">peasant</x:t>
        </x:is>
      </x:c>
      <x:c r="B5" t="inlineStr">
        <x:is>
          <x:t xml:space="preserve">peasant</x:t>
        </x:is>
      </x:c>
      <x:c r="C5" s="5" t="n">
        <x:f>VLOOKUP(A5,'01_Hero_Base'!$A$5:$N$12,5,FALSE)</x:f>
        <x:v>1</x:v>
      </x:c>
      <x:c r="D5" s="5" t="n">
        <x:f>VLOOKUP(A5,'01_Hero_Base'!$A$5:$N$12,6,FALSE)</x:f>
        <x:v>2</x:v>
      </x:c>
      <x:c r="E5" s="5" t="n">
        <x:f>VLOOKUP(B5,'01_Hero_Base'!$A$5:$N$12,6,FALSE)</x:f>
        <x:v>2</x:v>
      </x:c>
      <x:c r="F5" s="5" t="n">
        <x:f>VLOOKUP(B5,'01_Hero_Base'!$A$5:$N$12,7,FALSE)</x:f>
        <x:v>16</x:v>
      </x:c>
      <x:c r="G5" s="5" t="str">
        <x:f>VLOOKUP(A5,'01_Hero_Base'!$A$5:$N$12,4,FALSE)</x:f>
        <x:v>Physical</x:v>
      </x:c>
      <x:c r="H5" s="5" t="n">
        <x:f>D5</x:f>
        <x:v>2</x:v>
      </x:c>
      <x:c r="I5" s="5" t="n">
        <x:f>MAX(0,E5-'00_Assumptions'!$C$10)</x:f>
        <x:v>1</x:v>
      </x:c>
      <x:c r="J5" s="5" t="n">
        <x:f>H5-I5</x:f>
        <x:v>1</x:v>
      </x:c>
      <x:c r="K5" s="5" t="n">
        <x:f>IF(C5=0,0,H5/C5)</x:f>
        <x:v>2</x:v>
      </x:c>
      <x:c r="L5" s="5" t="n">
        <x:f>IF(H5=0,"∞",ROUNDUP(F5/H5,0))</x:f>
        <x:v>8</x:v>
      </x:c>
      <x:c r="M5" s="5" t="str">
        <x:f>IF(I5&gt;=3,"高",IF(I5&gt;=2,"中","低"))</x:f>
        <x:v>低</x:v>
      </x:c>
      <x:c r="N5" s="29" t="n">
        <x:f>VLOOKUP(B5,'01_Hero_Base'!$A$5:$P$12,15,FALSE)</x:f>
        <x:v>0</x:v>
      </x:c>
      <x:c r="O5" s="30" t="n">
        <x:f>VLOOKUP(B5,'01_Hero_Base'!$A$5:$P$12,16,FALSE)</x:f>
        <x:v>0</x:v>
      </x:c>
      <x:c r="P5" s="30" t="n">
        <x:f>IF(G5="Physical",N5,IF(G5="Magical",O5,0))</x:f>
        <x:v>0</x:v>
      </x:c>
      <x:c r="Q5" s="31" t="n">
        <x:f>MAX(0,H5-P5)</x:f>
        <x:v>2</x:v>
      </x:c>
      <x:c r="R5" s="32" t="n">
        <x:f>IF(Q5=0,"∞",ROUNDUP(F5/Q5,0))</x:f>
        <x:v>8</x:v>
      </x:c>
    </x:row>
    <x:row r="6">
      <x:c r="A6" t="inlineStr">
        <x:is>
          <x:t xml:space="preserve">peasant</x:t>
        </x:is>
      </x:c>
      <x:c r="B6" t="inlineStr">
        <x:is>
          <x:t xml:space="preserve">princess</x:t>
        </x:is>
      </x:c>
      <x:c r="C6" s="5" t="n">
        <x:f>VLOOKUP(A6,'01_Hero_Base'!$A$5:$N$12,5,FALSE)</x:f>
        <x:v>1</x:v>
      </x:c>
      <x:c r="D6" s="5" t="n">
        <x:f>VLOOKUP(A6,'01_Hero_Base'!$A$5:$N$12,6,FALSE)</x:f>
        <x:v>2</x:v>
      </x:c>
      <x:c r="E6" s="5" t="n">
        <x:f>VLOOKUP(B6,'01_Hero_Base'!$A$5:$N$12,6,FALSE)</x:f>
        <x:v>1</x:v>
      </x:c>
      <x:c r="F6" s="5" t="n">
        <x:f>VLOOKUP(B6,'01_Hero_Base'!$A$5:$N$12,7,FALSE)</x:f>
        <x:v>12</x:v>
      </x:c>
      <x:c r="G6" s="5" t="str">
        <x:f>VLOOKUP(A6,'01_Hero_Base'!$A$5:$N$12,4,FALSE)</x:f>
        <x:v>Physical</x:v>
      </x:c>
      <x:c r="H6" s="5" t="n">
        <x:f>D6</x:f>
        <x:v>2</x:v>
      </x:c>
      <x:c r="I6" s="5" t="n">
        <x:f>MAX(0,E6-'00_Assumptions'!$C$10)</x:f>
        <x:v>0</x:v>
      </x:c>
      <x:c r="J6" s="5" t="n">
        <x:f>H6-I6</x:f>
        <x:v>2</x:v>
      </x:c>
      <x:c r="K6" s="5" t="n">
        <x:f>IF(C6=0,0,H6/C6)</x:f>
        <x:v>2</x:v>
      </x:c>
      <x:c r="L6" s="5" t="n">
        <x:f>IF(H6=0,"∞",ROUNDUP(F6/H6,0))</x:f>
        <x:v>6</x:v>
      </x:c>
      <x:c r="M6" s="5" t="str">
        <x:f>IF(I6&gt;=3,"高",IF(I6&gt;=2,"中","低"))</x:f>
        <x:v>低</x:v>
      </x:c>
      <x:c r="N6" s="29" t="n">
        <x:f>VLOOKUP(B6,'01_Hero_Base'!$A$5:$P$12,15,FALSE)</x:f>
        <x:v>0</x:v>
      </x:c>
      <x:c r="O6" s="30" t="n">
        <x:f>VLOOKUP(B6,'01_Hero_Base'!$A$5:$P$12,16,FALSE)</x:f>
        <x:v>0</x:v>
      </x:c>
      <x:c r="P6" s="30" t="n">
        <x:f>IF(G6="Physical",N6,IF(G6="Magical",O6,0))</x:f>
        <x:v>0</x:v>
      </x:c>
      <x:c r="Q6" s="31" t="n">
        <x:f>MAX(0,H6-P6)</x:f>
        <x:v>2</x:v>
      </x:c>
      <x:c r="R6" s="32" t="n">
        <x:f>IF(Q6=0,"∞",ROUNDUP(F6/Q6,0))</x:f>
        <x:v>6</x:v>
      </x:c>
    </x:row>
    <x:row r="7">
      <x:c r="A7" t="inlineStr">
        <x:is>
          <x:t xml:space="preserve">peasant</x:t>
        </x:is>
      </x:c>
      <x:c r="B7" t="inlineStr">
        <x:is>
          <x:t xml:space="preserve">mage</x:t>
        </x:is>
      </x:c>
      <x:c r="C7" s="5" t="n">
        <x:f>VLOOKUP(A7,'01_Hero_Base'!$A$5:$N$12,5,FALSE)</x:f>
        <x:v>1</x:v>
      </x:c>
      <x:c r="D7" s="5" t="n">
        <x:f>VLOOKUP(A7,'01_Hero_Base'!$A$5:$N$12,6,FALSE)</x:f>
        <x:v>2</x:v>
      </x:c>
      <x:c r="E7" s="5" t="n">
        <x:f>VLOOKUP(B7,'01_Hero_Base'!$A$5:$N$12,6,FALSE)</x:f>
        <x:v>4</x:v>
      </x:c>
      <x:c r="F7" s="5" t="n">
        <x:f>VLOOKUP(B7,'01_Hero_Base'!$A$5:$N$12,7,FALSE)</x:f>
        <x:v>16</x:v>
      </x:c>
      <x:c r="G7" s="5" t="str">
        <x:f>VLOOKUP(A7,'01_Hero_Base'!$A$5:$N$12,4,FALSE)</x:f>
        <x:v>Physical</x:v>
      </x:c>
      <x:c r="H7" s="5" t="n">
        <x:f>D7</x:f>
        <x:v>2</x:v>
      </x:c>
      <x:c r="I7" s="5" t="n">
        <x:f>MAX(0,E7-'00_Assumptions'!$C$10)</x:f>
        <x:v>3</x:v>
      </x:c>
      <x:c r="J7" s="5" t="n">
        <x:f>H7-I7</x:f>
        <x:v>-1</x:v>
      </x:c>
      <x:c r="K7" s="5" t="n">
        <x:f>IF(C7=0,0,H7/C7)</x:f>
        <x:v>2</x:v>
      </x:c>
      <x:c r="L7" s="5" t="n">
        <x:f>IF(H7=0,"∞",ROUNDUP(F7/H7,0))</x:f>
        <x:v>8</x:v>
      </x:c>
      <x:c r="M7" s="5" t="str">
        <x:f>IF(I7&gt;=3,"高",IF(I7&gt;=2,"中","低"))</x:f>
        <x:v>高</x:v>
      </x:c>
      <x:c r="N7" s="29" t="n">
        <x:f>VLOOKUP(B7,'01_Hero_Base'!$A$5:$P$12,15,FALSE)</x:f>
        <x:v>0</x:v>
      </x:c>
      <x:c r="O7" s="30" t="n">
        <x:f>VLOOKUP(B7,'01_Hero_Base'!$A$5:$P$12,16,FALSE)</x:f>
        <x:v>0</x:v>
      </x:c>
      <x:c r="P7" s="30" t="n">
        <x:f>IF(G7="Physical",N7,IF(G7="Magical",O7,0))</x:f>
        <x:v>0</x:v>
      </x:c>
      <x:c r="Q7" s="31" t="n">
        <x:f>MAX(0,H7-P7)</x:f>
        <x:v>2</x:v>
      </x:c>
      <x:c r="R7" s="32" t="n">
        <x:f>IF(Q7=0,"∞",ROUNDUP(F7/Q7,0))</x:f>
        <x:v>8</x:v>
      </x:c>
    </x:row>
    <x:row r="8">
      <x:c r="A8" t="inlineStr">
        <x:is>
          <x:t xml:space="preserve">peasant</x:t>
        </x:is>
      </x:c>
      <x:c r="B8" t="inlineStr">
        <x:is>
          <x:t xml:space="preserve">oracle</x:t>
        </x:is>
      </x:c>
      <x:c r="C8" s="5" t="n">
        <x:f>VLOOKUP(A8,'01_Hero_Base'!$A$5:$N$12,5,FALSE)</x:f>
        <x:v>1</x:v>
      </x:c>
      <x:c r="D8" s="5" t="n">
        <x:f>VLOOKUP(A8,'01_Hero_Base'!$A$5:$N$12,6,FALSE)</x:f>
        <x:v>2</x:v>
      </x:c>
      <x:c r="E8" s="5" t="n">
        <x:f>VLOOKUP(B8,'01_Hero_Base'!$A$5:$N$12,6,FALSE)</x:f>
        <x:v>1</x:v>
      </x:c>
      <x:c r="F8" s="5" t="n">
        <x:f>VLOOKUP(B8,'01_Hero_Base'!$A$5:$N$12,7,FALSE)</x:f>
        <x:v>14</x:v>
      </x:c>
      <x:c r="G8" s="5" t="str">
        <x:f>VLOOKUP(A8,'01_Hero_Base'!$A$5:$N$12,4,FALSE)</x:f>
        <x:v>Physical</x:v>
      </x:c>
      <x:c r="H8" s="5" t="n">
        <x:f>D8</x:f>
        <x:v>2</x:v>
      </x:c>
      <x:c r="I8" s="5" t="n">
        <x:f>MAX(0,E8-'00_Assumptions'!$C$10)</x:f>
        <x:v>0</x:v>
      </x:c>
      <x:c r="J8" s="5" t="n">
        <x:f>H8-I8</x:f>
        <x:v>2</x:v>
      </x:c>
      <x:c r="K8" s="5" t="n">
        <x:f>IF(C8=0,0,H8/C8)</x:f>
        <x:v>2</x:v>
      </x:c>
      <x:c r="L8" s="5" t="n">
        <x:f>IF(H8=0,"∞",ROUNDUP(F8/H8,0))</x:f>
        <x:v>7</x:v>
      </x:c>
      <x:c r="M8" s="5" t="str">
        <x:f>IF(I8&gt;=3,"高",IF(I8&gt;=2,"中","低"))</x:f>
        <x:v>低</x:v>
      </x:c>
      <x:c r="N8" s="29" t="n">
        <x:f>VLOOKUP(B8,'01_Hero_Base'!$A$5:$P$12,15,FALSE)</x:f>
        <x:v>0</x:v>
      </x:c>
      <x:c r="O8" s="30" t="n">
        <x:f>VLOOKUP(B8,'01_Hero_Base'!$A$5:$P$12,16,FALSE)</x:f>
        <x:v>1</x:v>
      </x:c>
      <x:c r="P8" s="30" t="n">
        <x:f>IF(G8="Physical",N8,IF(G8="Magical",O8,0))</x:f>
        <x:v>0</x:v>
      </x:c>
      <x:c r="Q8" s="31" t="n">
        <x:f>MAX(0,H8-P8)</x:f>
        <x:v>2</x:v>
      </x:c>
      <x:c r="R8" s="32" t="n">
        <x:f>IF(Q8=0,"∞",ROUNDUP(F8/Q8,0))</x:f>
        <x:v>7</x:v>
      </x:c>
    </x:row>
    <x:row r="9">
      <x:c r="A9" t="inlineStr">
        <x:is>
          <x:t xml:space="preserve">peasant</x:t>
        </x:is>
      </x:c>
      <x:c r="B9" t="inlineStr">
        <x:is>
          <x:t xml:space="preserve">knight</x:t>
        </x:is>
      </x:c>
      <x:c r="C9" s="5" t="n">
        <x:f>VLOOKUP(A9,'01_Hero_Base'!$A$5:$N$12,5,FALSE)</x:f>
        <x:v>1</x:v>
      </x:c>
      <x:c r="D9" s="5" t="n">
        <x:f>VLOOKUP(A9,'01_Hero_Base'!$A$5:$N$12,6,FALSE)</x:f>
        <x:v>2</x:v>
      </x:c>
      <x:c r="E9" s="5" t="n">
        <x:f>VLOOKUP(B9,'01_Hero_Base'!$A$5:$N$12,6,FALSE)</x:f>
        <x:v>3</x:v>
      </x:c>
      <x:c r="F9" s="5" t="n">
        <x:f>VLOOKUP(B9,'01_Hero_Base'!$A$5:$N$12,7,FALSE)</x:f>
        <x:v>24</x:v>
      </x:c>
      <x:c r="G9" s="5" t="str">
        <x:f>VLOOKUP(A9,'01_Hero_Base'!$A$5:$N$12,4,FALSE)</x:f>
        <x:v>Physical</x:v>
      </x:c>
      <x:c r="H9" s="5" t="n">
        <x:f>D9</x:f>
        <x:v>2</x:v>
      </x:c>
      <x:c r="I9" s="5" t="n">
        <x:f>MAX(0,E9-'00_Assumptions'!$C$10)</x:f>
        <x:v>2</x:v>
      </x:c>
      <x:c r="J9" s="5" t="n">
        <x:f>H9-I9</x:f>
        <x:v>0</x:v>
      </x:c>
      <x:c r="K9" s="5" t="n">
        <x:f>IF(C9=0,0,H9/C9)</x:f>
        <x:v>2</x:v>
      </x:c>
      <x:c r="L9" s="5" t="n">
        <x:f>IF(H9=0,"∞",ROUNDUP(F9/H9,0))</x:f>
        <x:v>12</x:v>
      </x:c>
      <x:c r="M9" s="5" t="str">
        <x:f>IF(I9&gt;=3,"高",IF(I9&gt;=2,"中","低"))</x:f>
        <x:v>中</x:v>
      </x:c>
      <x:c r="N9" s="29" t="n">
        <x:f>VLOOKUP(B9,'01_Hero_Base'!$A$5:$P$12,15,FALSE)</x:f>
        <x:v>1</x:v>
      </x:c>
      <x:c r="O9" s="30" t="n">
        <x:f>VLOOKUP(B9,'01_Hero_Base'!$A$5:$P$12,16,FALSE)</x:f>
        <x:v>0</x:v>
      </x:c>
      <x:c r="P9" s="30" t="n">
        <x:f>IF(G9="Physical",N9,IF(G9="Magical",O9,0))</x:f>
        <x:v>1</x:v>
      </x:c>
      <x:c r="Q9" s="31" t="n">
        <x:f>MAX(0,H9-P9)</x:f>
        <x:v>1</x:v>
      </x:c>
      <x:c r="R9" s="32" t="n">
        <x:f>IF(Q9=0,"∞",ROUNDUP(F9/Q9,0))</x:f>
        <x:v>24</x:v>
      </x:c>
    </x:row>
    <x:row r="10">
      <x:c r="A10" t="inlineStr">
        <x:is>
          <x:t xml:space="preserve">peasant</x:t>
        </x:is>
      </x:c>
      <x:c r="B10" t="inlineStr">
        <x:is>
          <x:t xml:space="preserve">druid</x:t>
        </x:is>
      </x:c>
      <x:c r="C10" s="5" t="n">
        <x:f>VLOOKUP(A10,'01_Hero_Base'!$A$5:$N$12,5,FALSE)</x:f>
        <x:v>1</x:v>
      </x:c>
      <x:c r="D10" s="5" t="n">
        <x:f>VLOOKUP(A10,'01_Hero_Base'!$A$5:$N$12,6,FALSE)</x:f>
        <x:v>2</x:v>
      </x:c>
      <x:c r="E10" s="5" t="n">
        <x:f>VLOOKUP(B10,'01_Hero_Base'!$A$5:$N$12,6,FALSE)</x:f>
        <x:v>1</x:v>
      </x:c>
      <x:c r="F10" s="5" t="n">
        <x:f>VLOOKUP(B10,'01_Hero_Base'!$A$5:$N$12,7,FALSE)</x:f>
        <x:v>16</x:v>
      </x:c>
      <x:c r="G10" s="5" t="str">
        <x:f>VLOOKUP(A10,'01_Hero_Base'!$A$5:$N$12,4,FALSE)</x:f>
        <x:v>Physical</x:v>
      </x:c>
      <x:c r="H10" s="5" t="n">
        <x:f>D10</x:f>
        <x:v>2</x:v>
      </x:c>
      <x:c r="I10" s="5" t="n">
        <x:f>MAX(0,E10-'00_Assumptions'!$C$10)</x:f>
        <x:v>0</x:v>
      </x:c>
      <x:c r="J10" s="5" t="n">
        <x:f>H10-I10</x:f>
        <x:v>2</x:v>
      </x:c>
      <x:c r="K10" s="5" t="n">
        <x:f>IF(C10=0,0,H10/C10)</x:f>
        <x:v>2</x:v>
      </x:c>
      <x:c r="L10" s="5" t="n">
        <x:f>IF(H10=0,"∞",ROUNDUP(F10/H10,0))</x:f>
        <x:v>8</x:v>
      </x:c>
      <x:c r="M10" s="5" t="str">
        <x:f>IF(I10&gt;=3,"高",IF(I10&gt;=2,"中","低"))</x:f>
        <x:v>低</x:v>
      </x:c>
      <x:c r="N10" s="29" t="n">
        <x:f>VLOOKUP(B10,'01_Hero_Base'!$A$5:$P$12,15,FALSE)</x:f>
        <x:v>0</x:v>
      </x:c>
      <x:c r="O10" s="30" t="n">
        <x:f>VLOOKUP(B10,'01_Hero_Base'!$A$5:$P$12,16,FALSE)</x:f>
        <x:v>1</x:v>
      </x:c>
      <x:c r="P10" s="30" t="n">
        <x:f>IF(G10="Physical",N10,IF(G10="Magical",O10,0))</x:f>
        <x:v>0</x:v>
      </x:c>
      <x:c r="Q10" s="31" t="n">
        <x:f>MAX(0,H10-P10)</x:f>
        <x:v>2</x:v>
      </x:c>
      <x:c r="R10" s="32" t="n">
        <x:f>IF(Q10=0,"∞",ROUNDUP(F10/Q10,0))</x:f>
        <x:v>8</x:v>
      </x:c>
    </x:row>
    <x:row r="11">
      <x:c r="A11" t="inlineStr">
        <x:is>
          <x:t xml:space="preserve">peasant</x:t>
        </x:is>
      </x:c>
      <x:c r="B11" t="inlineStr">
        <x:is>
          <x:t xml:space="preserve">barbarian</x:t>
        </x:is>
      </x:c>
      <x:c r="C11" s="5" t="n">
        <x:f>VLOOKUP(A11,'01_Hero_Base'!$A$5:$N$12,5,FALSE)</x:f>
        <x:v>1</x:v>
      </x:c>
      <x:c r="D11" s="5" t="n">
        <x:f>VLOOKUP(A11,'01_Hero_Base'!$A$5:$N$12,6,FALSE)</x:f>
        <x:v>2</x:v>
      </x:c>
      <x:c r="E11" s="5" t="n">
        <x:f>VLOOKUP(B11,'01_Hero_Base'!$A$5:$N$12,6,FALSE)</x:f>
        <x:v>4</x:v>
      </x:c>
      <x:c r="F11" s="5" t="n">
        <x:f>VLOOKUP(B11,'01_Hero_Base'!$A$5:$N$12,7,FALSE)</x:f>
        <x:v>18</x:v>
      </x:c>
      <x:c r="G11" s="5" t="str">
        <x:f>VLOOKUP(A11,'01_Hero_Base'!$A$5:$N$12,4,FALSE)</x:f>
        <x:v>Physical</x:v>
      </x:c>
      <x:c r="H11" s="5" t="n">
        <x:f>D11</x:f>
        <x:v>2</x:v>
      </x:c>
      <x:c r="I11" s="5" t="n">
        <x:f>MAX(0,E11-'00_Assumptions'!$C$10)</x:f>
        <x:v>3</x:v>
      </x:c>
      <x:c r="J11" s="5" t="n">
        <x:f>H11-I11</x:f>
        <x:v>-1</x:v>
      </x:c>
      <x:c r="K11" s="5" t="n">
        <x:f>IF(C11=0,0,H11/C11)</x:f>
        <x:v>2</x:v>
      </x:c>
      <x:c r="L11" s="5" t="n">
        <x:f>IF(H11=0,"∞",ROUNDUP(F11/H11,0))</x:f>
        <x:v>9</x:v>
      </x:c>
      <x:c r="M11" s="5" t="str">
        <x:f>IF(I11&gt;=3,"高",IF(I11&gt;=2,"中","低"))</x:f>
        <x:v>高</x:v>
      </x:c>
      <x:c r="N11" s="29" t="n">
        <x:f>VLOOKUP(B11,'01_Hero_Base'!$A$5:$P$12,15,FALSE)</x:f>
        <x:v>0</x:v>
      </x:c>
      <x:c r="O11" s="30" t="n">
        <x:f>VLOOKUP(B11,'01_Hero_Base'!$A$5:$P$12,16,FALSE)</x:f>
        <x:v>0</x:v>
      </x:c>
      <x:c r="P11" s="30" t="n">
        <x:f>IF(G11="Physical",N11,IF(G11="Magical",O11,0))</x:f>
        <x:v>0</x:v>
      </x:c>
      <x:c r="Q11" s="31" t="n">
        <x:f>MAX(0,H11-P11)</x:f>
        <x:v>2</x:v>
      </x:c>
      <x:c r="R11" s="32" t="n">
        <x:f>IF(Q11=0,"∞",ROUNDUP(F11/Q11,0))</x:f>
        <x:v>9</x:v>
      </x:c>
    </x:row>
    <x:row r="12">
      <x:c r="A12" t="inlineStr">
        <x:is>
          <x:t xml:space="preserve">peasant</x:t>
        </x:is>
      </x:c>
      <x:c r="B12" t="inlineStr">
        <x:is>
          <x:t xml:space="preserve">monster</x:t>
        </x:is>
      </x:c>
      <x:c r="C12" s="5" t="n">
        <x:f>VLOOKUP(A12,'01_Hero_Base'!$A$5:$N$12,5,FALSE)</x:f>
        <x:v>1</x:v>
      </x:c>
      <x:c r="D12" s="5" t="n">
        <x:f>VLOOKUP(A12,'01_Hero_Base'!$A$5:$N$12,6,FALSE)</x:f>
        <x:v>2</x:v>
      </x:c>
      <x:c r="E12" s="5" t="n">
        <x:f>VLOOKUP(B12,'01_Hero_Base'!$A$5:$N$12,6,FALSE)</x:f>
        <x:v>3</x:v>
      </x:c>
      <x:c r="F12" s="5" t="n">
        <x:f>VLOOKUP(B12,'01_Hero_Base'!$A$5:$N$12,7,FALSE)</x:f>
        <x:v>22</x:v>
      </x:c>
      <x:c r="G12" s="5" t="str">
        <x:f>VLOOKUP(A12,'01_Hero_Base'!$A$5:$N$12,4,FALSE)</x:f>
        <x:v>Physical</x:v>
      </x:c>
      <x:c r="H12" s="5" t="n">
        <x:f>D12</x:f>
        <x:v>2</x:v>
      </x:c>
      <x:c r="I12" s="5" t="n">
        <x:f>MAX(0,E12-'00_Assumptions'!$C$10)</x:f>
        <x:v>2</x:v>
      </x:c>
      <x:c r="J12" s="5" t="n">
        <x:f>H12-I12</x:f>
        <x:v>0</x:v>
      </x:c>
      <x:c r="K12" s="5" t="n">
        <x:f>IF(C12=0,0,H12/C12)</x:f>
        <x:v>2</x:v>
      </x:c>
      <x:c r="L12" s="5" t="n">
        <x:f>IF(H12=0,"∞",ROUNDUP(F12/H12,0))</x:f>
        <x:v>11</x:v>
      </x:c>
      <x:c r="M12" s="5" t="str">
        <x:f>IF(I12&gt;=3,"高",IF(I12&gt;=2,"中","低"))</x:f>
        <x:v>中</x:v>
      </x:c>
      <x:c r="N12" s="29" t="n">
        <x:f>VLOOKUP(B12,'01_Hero_Base'!$A$5:$P$12,15,FALSE)</x:f>
        <x:v>1</x:v>
      </x:c>
      <x:c r="O12" s="30" t="n">
        <x:f>VLOOKUP(B12,'01_Hero_Base'!$A$5:$P$12,16,FALSE)</x:f>
        <x:v>0</x:v>
      </x:c>
      <x:c r="P12" s="30" t="n">
        <x:f>IF(G12="Physical",N12,IF(G12="Magical",O12,0))</x:f>
        <x:v>1</x:v>
      </x:c>
      <x:c r="Q12" s="31" t="n">
        <x:f>MAX(0,H12-P12)</x:f>
        <x:v>1</x:v>
      </x:c>
      <x:c r="R12" s="32" t="n">
        <x:f>IF(Q12=0,"∞",ROUNDUP(F12/Q12,0))</x:f>
        <x:v>22</x:v>
      </x:c>
    </x:row>
    <x:row r="13">
      <x:c r="A13" t="inlineStr">
        <x:is>
          <x:t xml:space="preserve">princess</x:t>
        </x:is>
      </x:c>
      <x:c r="B13" t="inlineStr">
        <x:is>
          <x:t xml:space="preserve">peasant</x:t>
        </x:is>
      </x:c>
      <x:c r="C13" s="5" t="n">
        <x:f>VLOOKUP(A13,'01_Hero_Base'!$A$5:$N$12,5,FALSE)</x:f>
        <x:v>1</x:v>
      </x:c>
      <x:c r="D13" s="5" t="n">
        <x:f>VLOOKUP(A13,'01_Hero_Base'!$A$5:$N$12,6,FALSE)</x:f>
        <x:v>1</x:v>
      </x:c>
      <x:c r="E13" s="5" t="n">
        <x:f>VLOOKUP(B13,'01_Hero_Base'!$A$5:$N$12,6,FALSE)</x:f>
        <x:v>2</x:v>
      </x:c>
      <x:c r="F13" s="5" t="n">
        <x:f>VLOOKUP(B13,'01_Hero_Base'!$A$5:$N$12,7,FALSE)</x:f>
        <x:v>16</x:v>
      </x:c>
      <x:c r="G13" s="5" t="str">
        <x:f>VLOOKUP(A13,'01_Hero_Base'!$A$5:$N$12,4,FALSE)</x:f>
        <x:v>Physical</x:v>
      </x:c>
      <x:c r="H13" s="5" t="n">
        <x:f>D13</x:f>
        <x:v>1</x:v>
      </x:c>
      <x:c r="I13" s="5" t="n">
        <x:f>MAX(0,E13-'00_Assumptions'!$C$10)</x:f>
        <x:v>1</x:v>
      </x:c>
      <x:c r="J13" s="5" t="n">
        <x:f>H13-I13</x:f>
        <x:v>0</x:v>
      </x:c>
      <x:c r="K13" s="5" t="n">
        <x:f>IF(C13=0,0,H13/C13)</x:f>
        <x:v>1</x:v>
      </x:c>
      <x:c r="L13" s="5" t="n">
        <x:f>IF(H13=0,"∞",ROUNDUP(F13/H13,0))</x:f>
        <x:v>16</x:v>
      </x:c>
      <x:c r="M13" s="5" t="str">
        <x:f>IF(I13&gt;=3,"高",IF(I13&gt;=2,"中","低"))</x:f>
        <x:v>低</x:v>
      </x:c>
      <x:c r="N13" s="29" t="n">
        <x:f>VLOOKUP(B13,'01_Hero_Base'!$A$5:$P$12,15,FALSE)</x:f>
        <x:v>0</x:v>
      </x:c>
      <x:c r="O13" s="30" t="n">
        <x:f>VLOOKUP(B13,'01_Hero_Base'!$A$5:$P$12,16,FALSE)</x:f>
        <x:v>0</x:v>
      </x:c>
      <x:c r="P13" s="30" t="n">
        <x:f>IF(G13="Physical",N13,IF(G13="Magical",O13,0))</x:f>
        <x:v>0</x:v>
      </x:c>
      <x:c r="Q13" s="31" t="n">
        <x:f>MAX(0,H13-P13)</x:f>
        <x:v>1</x:v>
      </x:c>
      <x:c r="R13" s="32" t="n">
        <x:f>IF(Q13=0,"∞",ROUNDUP(F13/Q13,0))</x:f>
        <x:v>16</x:v>
      </x:c>
    </x:row>
    <x:row r="14">
      <x:c r="A14" t="inlineStr">
        <x:is>
          <x:t xml:space="preserve">princess</x:t>
        </x:is>
      </x:c>
      <x:c r="B14" t="inlineStr">
        <x:is>
          <x:t xml:space="preserve">princess</x:t>
        </x:is>
      </x:c>
      <x:c r="C14" s="5" t="n">
        <x:f>VLOOKUP(A14,'01_Hero_Base'!$A$5:$N$12,5,FALSE)</x:f>
        <x:v>1</x:v>
      </x:c>
      <x:c r="D14" s="5" t="n">
        <x:f>VLOOKUP(A14,'01_Hero_Base'!$A$5:$N$12,6,FALSE)</x:f>
        <x:v>1</x:v>
      </x:c>
      <x:c r="E14" s="5" t="n">
        <x:f>VLOOKUP(B14,'01_Hero_Base'!$A$5:$N$12,6,FALSE)</x:f>
        <x:v>1</x:v>
      </x:c>
      <x:c r="F14" s="5" t="n">
        <x:f>VLOOKUP(B14,'01_Hero_Base'!$A$5:$N$12,7,FALSE)</x:f>
        <x:v>12</x:v>
      </x:c>
      <x:c r="G14" s="5" t="str">
        <x:f>VLOOKUP(A14,'01_Hero_Base'!$A$5:$N$12,4,FALSE)</x:f>
        <x:v>Physical</x:v>
      </x:c>
      <x:c r="H14" s="5" t="n">
        <x:f>D14</x:f>
        <x:v>1</x:v>
      </x:c>
      <x:c r="I14" s="5" t="n">
        <x:f>MAX(0,E14-'00_Assumptions'!$C$10)</x:f>
        <x:v>0</x:v>
      </x:c>
      <x:c r="J14" s="5" t="n">
        <x:f>H14-I14</x:f>
        <x:v>1</x:v>
      </x:c>
      <x:c r="K14" s="5" t="n">
        <x:f>IF(C14=0,0,H14/C14)</x:f>
        <x:v>1</x:v>
      </x:c>
      <x:c r="L14" s="5" t="n">
        <x:f>IF(H14=0,"∞",ROUNDUP(F14/H14,0))</x:f>
        <x:v>12</x:v>
      </x:c>
      <x:c r="M14" s="5" t="str">
        <x:f>IF(I14&gt;=3,"高",IF(I14&gt;=2,"中","低"))</x:f>
        <x:v>低</x:v>
      </x:c>
      <x:c r="N14" s="29" t="n">
        <x:f>VLOOKUP(B14,'01_Hero_Base'!$A$5:$P$12,15,FALSE)</x:f>
        <x:v>0</x:v>
      </x:c>
      <x:c r="O14" s="30" t="n">
        <x:f>VLOOKUP(B14,'01_Hero_Base'!$A$5:$P$12,16,FALSE)</x:f>
        <x:v>0</x:v>
      </x:c>
      <x:c r="P14" s="30" t="n">
        <x:f>IF(G14="Physical",N14,IF(G14="Magical",O14,0))</x:f>
        <x:v>0</x:v>
      </x:c>
      <x:c r="Q14" s="31" t="n">
        <x:f>MAX(0,H14-P14)</x:f>
        <x:v>1</x:v>
      </x:c>
      <x:c r="R14" s="32" t="n">
        <x:f>IF(Q14=0,"∞",ROUNDUP(F14/Q14,0))</x:f>
        <x:v>12</x:v>
      </x:c>
    </x:row>
    <x:row r="15">
      <x:c r="A15" t="inlineStr">
        <x:is>
          <x:t xml:space="preserve">princess</x:t>
        </x:is>
      </x:c>
      <x:c r="B15" t="inlineStr">
        <x:is>
          <x:t xml:space="preserve">mage</x:t>
        </x:is>
      </x:c>
      <x:c r="C15" s="5" t="n">
        <x:f>VLOOKUP(A15,'01_Hero_Base'!$A$5:$N$12,5,FALSE)</x:f>
        <x:v>1</x:v>
      </x:c>
      <x:c r="D15" s="5" t="n">
        <x:f>VLOOKUP(A15,'01_Hero_Base'!$A$5:$N$12,6,FALSE)</x:f>
        <x:v>1</x:v>
      </x:c>
      <x:c r="E15" s="5" t="n">
        <x:f>VLOOKUP(B15,'01_Hero_Base'!$A$5:$N$12,6,FALSE)</x:f>
        <x:v>4</x:v>
      </x:c>
      <x:c r="F15" s="5" t="n">
        <x:f>VLOOKUP(B15,'01_Hero_Base'!$A$5:$N$12,7,FALSE)</x:f>
        <x:v>16</x:v>
      </x:c>
      <x:c r="G15" s="5" t="str">
        <x:f>VLOOKUP(A15,'01_Hero_Base'!$A$5:$N$12,4,FALSE)</x:f>
        <x:v>Physical</x:v>
      </x:c>
      <x:c r="H15" s="5" t="n">
        <x:f>D15</x:f>
        <x:v>1</x:v>
      </x:c>
      <x:c r="I15" s="5" t="n">
        <x:f>MAX(0,E15-'00_Assumptions'!$C$10)</x:f>
        <x:v>3</x:v>
      </x:c>
      <x:c r="J15" s="5" t="n">
        <x:f>H15-I15</x:f>
        <x:v>-2</x:v>
      </x:c>
      <x:c r="K15" s="5" t="n">
        <x:f>IF(C15=0,0,H15/C15)</x:f>
        <x:v>1</x:v>
      </x:c>
      <x:c r="L15" s="5" t="n">
        <x:f>IF(H15=0,"∞",ROUNDUP(F15/H15,0))</x:f>
        <x:v>16</x:v>
      </x:c>
      <x:c r="M15" s="5" t="str">
        <x:f>IF(I15&gt;=3,"高",IF(I15&gt;=2,"中","低"))</x:f>
        <x:v>高</x:v>
      </x:c>
      <x:c r="N15" s="29" t="n">
        <x:f>VLOOKUP(B15,'01_Hero_Base'!$A$5:$P$12,15,FALSE)</x:f>
        <x:v>0</x:v>
      </x:c>
      <x:c r="O15" s="30" t="n">
        <x:f>VLOOKUP(B15,'01_Hero_Base'!$A$5:$P$12,16,FALSE)</x:f>
        <x:v>0</x:v>
      </x:c>
      <x:c r="P15" s="30" t="n">
        <x:f>IF(G15="Physical",N15,IF(G15="Magical",O15,0))</x:f>
        <x:v>0</x:v>
      </x:c>
      <x:c r="Q15" s="31" t="n">
        <x:f>MAX(0,H15-P15)</x:f>
        <x:v>1</x:v>
      </x:c>
      <x:c r="R15" s="32" t="n">
        <x:f>IF(Q15=0,"∞",ROUNDUP(F15/Q15,0))</x:f>
        <x:v>16</x:v>
      </x:c>
    </x:row>
    <x:row r="16">
      <x:c r="A16" t="inlineStr">
        <x:is>
          <x:t xml:space="preserve">princess</x:t>
        </x:is>
      </x:c>
      <x:c r="B16" t="inlineStr">
        <x:is>
          <x:t xml:space="preserve">oracle</x:t>
        </x:is>
      </x:c>
      <x:c r="C16" s="5" t="n">
        <x:f>VLOOKUP(A16,'01_Hero_Base'!$A$5:$N$12,5,FALSE)</x:f>
        <x:v>1</x:v>
      </x:c>
      <x:c r="D16" s="5" t="n">
        <x:f>VLOOKUP(A16,'01_Hero_Base'!$A$5:$N$12,6,FALSE)</x:f>
        <x:v>1</x:v>
      </x:c>
      <x:c r="E16" s="5" t="n">
        <x:f>VLOOKUP(B16,'01_Hero_Base'!$A$5:$N$12,6,FALSE)</x:f>
        <x:v>1</x:v>
      </x:c>
      <x:c r="F16" s="5" t="n">
        <x:f>VLOOKUP(B16,'01_Hero_Base'!$A$5:$N$12,7,FALSE)</x:f>
        <x:v>14</x:v>
      </x:c>
      <x:c r="G16" s="5" t="str">
        <x:f>VLOOKUP(A16,'01_Hero_Base'!$A$5:$N$12,4,FALSE)</x:f>
        <x:v>Physical</x:v>
      </x:c>
      <x:c r="H16" s="5" t="n">
        <x:f>D16</x:f>
        <x:v>1</x:v>
      </x:c>
      <x:c r="I16" s="5" t="n">
        <x:f>MAX(0,E16-'00_Assumptions'!$C$10)</x:f>
        <x:v>0</x:v>
      </x:c>
      <x:c r="J16" s="5" t="n">
        <x:f>H16-I16</x:f>
        <x:v>1</x:v>
      </x:c>
      <x:c r="K16" s="5" t="n">
        <x:f>IF(C16=0,0,H16/C16)</x:f>
        <x:v>1</x:v>
      </x:c>
      <x:c r="L16" s="5" t="n">
        <x:f>IF(H16=0,"∞",ROUNDUP(F16/H16,0))</x:f>
        <x:v>14</x:v>
      </x:c>
      <x:c r="M16" s="5" t="str">
        <x:f>IF(I16&gt;=3,"高",IF(I16&gt;=2,"中","低"))</x:f>
        <x:v>低</x:v>
      </x:c>
      <x:c r="N16" s="29" t="n">
        <x:f>VLOOKUP(B16,'01_Hero_Base'!$A$5:$P$12,15,FALSE)</x:f>
        <x:v>0</x:v>
      </x:c>
      <x:c r="O16" s="30" t="n">
        <x:f>VLOOKUP(B16,'01_Hero_Base'!$A$5:$P$12,16,FALSE)</x:f>
        <x:v>1</x:v>
      </x:c>
      <x:c r="P16" s="30" t="n">
        <x:f>IF(G16="Physical",N16,IF(G16="Magical",O16,0))</x:f>
        <x:v>0</x:v>
      </x:c>
      <x:c r="Q16" s="31" t="n">
        <x:f>MAX(0,H16-P16)</x:f>
        <x:v>1</x:v>
      </x:c>
      <x:c r="R16" s="32" t="n">
        <x:f>IF(Q16=0,"∞",ROUNDUP(F16/Q16,0))</x:f>
        <x:v>14</x:v>
      </x:c>
    </x:row>
    <x:row r="17">
      <x:c r="A17" t="inlineStr">
        <x:is>
          <x:t xml:space="preserve">princess</x:t>
        </x:is>
      </x:c>
      <x:c r="B17" t="inlineStr">
        <x:is>
          <x:t xml:space="preserve">knight</x:t>
        </x:is>
      </x:c>
      <x:c r="C17" s="5" t="n">
        <x:f>VLOOKUP(A17,'01_Hero_Base'!$A$5:$N$12,5,FALSE)</x:f>
        <x:v>1</x:v>
      </x:c>
      <x:c r="D17" s="5" t="n">
        <x:f>VLOOKUP(A17,'01_Hero_Base'!$A$5:$N$12,6,FALSE)</x:f>
        <x:v>1</x:v>
      </x:c>
      <x:c r="E17" s="5" t="n">
        <x:f>VLOOKUP(B17,'01_Hero_Base'!$A$5:$N$12,6,FALSE)</x:f>
        <x:v>3</x:v>
      </x:c>
      <x:c r="F17" s="5" t="n">
        <x:f>VLOOKUP(B17,'01_Hero_Base'!$A$5:$N$12,7,FALSE)</x:f>
        <x:v>24</x:v>
      </x:c>
      <x:c r="G17" s="5" t="str">
        <x:f>VLOOKUP(A17,'01_Hero_Base'!$A$5:$N$12,4,FALSE)</x:f>
        <x:v>Physical</x:v>
      </x:c>
      <x:c r="H17" s="5" t="n">
        <x:f>D17</x:f>
        <x:v>1</x:v>
      </x:c>
      <x:c r="I17" s="5" t="n">
        <x:f>MAX(0,E17-'00_Assumptions'!$C$10)</x:f>
        <x:v>2</x:v>
      </x:c>
      <x:c r="J17" s="5" t="n">
        <x:f>H17-I17</x:f>
        <x:v>-1</x:v>
      </x:c>
      <x:c r="K17" s="5" t="n">
        <x:f>IF(C17=0,0,H17/C17)</x:f>
        <x:v>1</x:v>
      </x:c>
      <x:c r="L17" s="5" t="n">
        <x:f>IF(H17=0,"∞",ROUNDUP(F17/H17,0))</x:f>
        <x:v>24</x:v>
      </x:c>
      <x:c r="M17" s="5" t="str">
        <x:f>IF(I17&gt;=3,"高",IF(I17&gt;=2,"中","低"))</x:f>
        <x:v>中</x:v>
      </x:c>
      <x:c r="N17" s="29" t="n">
        <x:f>VLOOKUP(B17,'01_Hero_Base'!$A$5:$P$12,15,FALSE)</x:f>
        <x:v>1</x:v>
      </x:c>
      <x:c r="O17" s="30" t="n">
        <x:f>VLOOKUP(B17,'01_Hero_Base'!$A$5:$P$12,16,FALSE)</x:f>
        <x:v>0</x:v>
      </x:c>
      <x:c r="P17" s="30" t="n">
        <x:f>IF(G17="Physical",N17,IF(G17="Magical",O17,0))</x:f>
        <x:v>1</x:v>
      </x:c>
      <x:c r="Q17" s="31" t="n">
        <x:f>MAX(0,H17-P17)</x:f>
        <x:v>0</x:v>
      </x:c>
      <x:c r="R17" s="32" t="str">
        <x:f>IF(Q17=0,"∞",ROUNDUP(F17/Q17,0))</x:f>
        <x:v>∞</x:v>
      </x:c>
    </x:row>
    <x:row r="18">
      <x:c r="A18" t="inlineStr">
        <x:is>
          <x:t xml:space="preserve">princess</x:t>
        </x:is>
      </x:c>
      <x:c r="B18" t="inlineStr">
        <x:is>
          <x:t xml:space="preserve">druid</x:t>
        </x:is>
      </x:c>
      <x:c r="C18" s="5" t="n">
        <x:f>VLOOKUP(A18,'01_Hero_Base'!$A$5:$N$12,5,FALSE)</x:f>
        <x:v>1</x:v>
      </x:c>
      <x:c r="D18" s="5" t="n">
        <x:f>VLOOKUP(A18,'01_Hero_Base'!$A$5:$N$12,6,FALSE)</x:f>
        <x:v>1</x:v>
      </x:c>
      <x:c r="E18" s="5" t="n">
        <x:f>VLOOKUP(B18,'01_Hero_Base'!$A$5:$N$12,6,FALSE)</x:f>
        <x:v>1</x:v>
      </x:c>
      <x:c r="F18" s="5" t="n">
        <x:f>VLOOKUP(B18,'01_Hero_Base'!$A$5:$N$12,7,FALSE)</x:f>
        <x:v>16</x:v>
      </x:c>
      <x:c r="G18" s="5" t="str">
        <x:f>VLOOKUP(A18,'01_Hero_Base'!$A$5:$N$12,4,FALSE)</x:f>
        <x:v>Physical</x:v>
      </x:c>
      <x:c r="H18" s="5" t="n">
        <x:f>D18</x:f>
        <x:v>1</x:v>
      </x:c>
      <x:c r="I18" s="5" t="n">
        <x:f>MAX(0,E18-'00_Assumptions'!$C$10)</x:f>
        <x:v>0</x:v>
      </x:c>
      <x:c r="J18" s="5" t="n">
        <x:f>H18-I18</x:f>
        <x:v>1</x:v>
      </x:c>
      <x:c r="K18" s="5" t="n">
        <x:f>IF(C18=0,0,H18/C18)</x:f>
        <x:v>1</x:v>
      </x:c>
      <x:c r="L18" s="5" t="n">
        <x:f>IF(H18=0,"∞",ROUNDUP(F18/H18,0))</x:f>
        <x:v>16</x:v>
      </x:c>
      <x:c r="M18" s="5" t="str">
        <x:f>IF(I18&gt;=3,"高",IF(I18&gt;=2,"中","低"))</x:f>
        <x:v>低</x:v>
      </x:c>
      <x:c r="N18" s="29" t="n">
        <x:f>VLOOKUP(B18,'01_Hero_Base'!$A$5:$P$12,15,FALSE)</x:f>
        <x:v>0</x:v>
      </x:c>
      <x:c r="O18" s="30" t="n">
        <x:f>VLOOKUP(B18,'01_Hero_Base'!$A$5:$P$12,16,FALSE)</x:f>
        <x:v>1</x:v>
      </x:c>
      <x:c r="P18" s="30" t="n">
        <x:f>IF(G18="Physical",N18,IF(G18="Magical",O18,0))</x:f>
        <x:v>0</x:v>
      </x:c>
      <x:c r="Q18" s="31" t="n">
        <x:f>MAX(0,H18-P18)</x:f>
        <x:v>1</x:v>
      </x:c>
      <x:c r="R18" s="32" t="n">
        <x:f>IF(Q18=0,"∞",ROUNDUP(F18/Q18,0))</x:f>
        <x:v>16</x:v>
      </x:c>
    </x:row>
    <x:row r="19">
      <x:c r="A19" t="inlineStr">
        <x:is>
          <x:t xml:space="preserve">princess</x:t>
        </x:is>
      </x:c>
      <x:c r="B19" t="inlineStr">
        <x:is>
          <x:t xml:space="preserve">barbarian</x:t>
        </x:is>
      </x:c>
      <x:c r="C19" s="5" t="n">
        <x:f>VLOOKUP(A19,'01_Hero_Base'!$A$5:$N$12,5,FALSE)</x:f>
        <x:v>1</x:v>
      </x:c>
      <x:c r="D19" s="5" t="n">
        <x:f>VLOOKUP(A19,'01_Hero_Base'!$A$5:$N$12,6,FALSE)</x:f>
        <x:v>1</x:v>
      </x:c>
      <x:c r="E19" s="5" t="n">
        <x:f>VLOOKUP(B19,'01_Hero_Base'!$A$5:$N$12,6,FALSE)</x:f>
        <x:v>4</x:v>
      </x:c>
      <x:c r="F19" s="5" t="n">
        <x:f>VLOOKUP(B19,'01_Hero_Base'!$A$5:$N$12,7,FALSE)</x:f>
        <x:v>18</x:v>
      </x:c>
      <x:c r="G19" s="5" t="str">
        <x:f>VLOOKUP(A19,'01_Hero_Base'!$A$5:$N$12,4,FALSE)</x:f>
        <x:v>Physical</x:v>
      </x:c>
      <x:c r="H19" s="5" t="n">
        <x:f>D19</x:f>
        <x:v>1</x:v>
      </x:c>
      <x:c r="I19" s="5" t="n">
        <x:f>MAX(0,E19-'00_Assumptions'!$C$10)</x:f>
        <x:v>3</x:v>
      </x:c>
      <x:c r="J19" s="5" t="n">
        <x:f>H19-I19</x:f>
        <x:v>-2</x:v>
      </x:c>
      <x:c r="K19" s="5" t="n">
        <x:f>IF(C19=0,0,H19/C19)</x:f>
        <x:v>1</x:v>
      </x:c>
      <x:c r="L19" s="5" t="n">
        <x:f>IF(H19=0,"∞",ROUNDUP(F19/H19,0))</x:f>
        <x:v>18</x:v>
      </x:c>
      <x:c r="M19" s="5" t="str">
        <x:f>IF(I19&gt;=3,"高",IF(I19&gt;=2,"中","低"))</x:f>
        <x:v>高</x:v>
      </x:c>
      <x:c r="N19" s="29" t="n">
        <x:f>VLOOKUP(B19,'01_Hero_Base'!$A$5:$P$12,15,FALSE)</x:f>
        <x:v>0</x:v>
      </x:c>
      <x:c r="O19" s="30" t="n">
        <x:f>VLOOKUP(B19,'01_Hero_Base'!$A$5:$P$12,16,FALSE)</x:f>
        <x:v>0</x:v>
      </x:c>
      <x:c r="P19" s="30" t="n">
        <x:f>IF(G19="Physical",N19,IF(G19="Magical",O19,0))</x:f>
        <x:v>0</x:v>
      </x:c>
      <x:c r="Q19" s="31" t="n">
        <x:f>MAX(0,H19-P19)</x:f>
        <x:v>1</x:v>
      </x:c>
      <x:c r="R19" s="32" t="n">
        <x:f>IF(Q19=0,"∞",ROUNDUP(F19/Q19,0))</x:f>
        <x:v>18</x:v>
      </x:c>
    </x:row>
    <x:row r="20">
      <x:c r="A20" t="inlineStr">
        <x:is>
          <x:t xml:space="preserve">princess</x:t>
        </x:is>
      </x:c>
      <x:c r="B20" t="inlineStr">
        <x:is>
          <x:t xml:space="preserve">monster</x:t>
        </x:is>
      </x:c>
      <x:c r="C20" s="5" t="n">
        <x:f>VLOOKUP(A20,'01_Hero_Base'!$A$5:$N$12,5,FALSE)</x:f>
        <x:v>1</x:v>
      </x:c>
      <x:c r="D20" s="5" t="n">
        <x:f>VLOOKUP(A20,'01_Hero_Base'!$A$5:$N$12,6,FALSE)</x:f>
        <x:v>1</x:v>
      </x:c>
      <x:c r="E20" s="5" t="n">
        <x:f>VLOOKUP(B20,'01_Hero_Base'!$A$5:$N$12,6,FALSE)</x:f>
        <x:v>3</x:v>
      </x:c>
      <x:c r="F20" s="5" t="n">
        <x:f>VLOOKUP(B20,'01_Hero_Base'!$A$5:$N$12,7,FALSE)</x:f>
        <x:v>22</x:v>
      </x:c>
      <x:c r="G20" s="5" t="str">
        <x:f>VLOOKUP(A20,'01_Hero_Base'!$A$5:$N$12,4,FALSE)</x:f>
        <x:v>Physical</x:v>
      </x:c>
      <x:c r="H20" s="5" t="n">
        <x:f>D20</x:f>
        <x:v>1</x:v>
      </x:c>
      <x:c r="I20" s="5" t="n">
        <x:f>MAX(0,E20-'00_Assumptions'!$C$10)</x:f>
        <x:v>2</x:v>
      </x:c>
      <x:c r="J20" s="5" t="n">
        <x:f>H20-I20</x:f>
        <x:v>-1</x:v>
      </x:c>
      <x:c r="K20" s="5" t="n">
        <x:f>IF(C20=0,0,H20/C20)</x:f>
        <x:v>1</x:v>
      </x:c>
      <x:c r="L20" s="5" t="n">
        <x:f>IF(H20=0,"∞",ROUNDUP(F20/H20,0))</x:f>
        <x:v>22</x:v>
      </x:c>
      <x:c r="M20" s="5" t="str">
        <x:f>IF(I20&gt;=3,"高",IF(I20&gt;=2,"中","低"))</x:f>
        <x:v>中</x:v>
      </x:c>
      <x:c r="N20" s="29" t="n">
        <x:f>VLOOKUP(B20,'01_Hero_Base'!$A$5:$P$12,15,FALSE)</x:f>
        <x:v>1</x:v>
      </x:c>
      <x:c r="O20" s="30" t="n">
        <x:f>VLOOKUP(B20,'01_Hero_Base'!$A$5:$P$12,16,FALSE)</x:f>
        <x:v>0</x:v>
      </x:c>
      <x:c r="P20" s="30" t="n">
        <x:f>IF(G20="Physical",N20,IF(G20="Magical",O20,0))</x:f>
        <x:v>1</x:v>
      </x:c>
      <x:c r="Q20" s="31" t="n">
        <x:f>MAX(0,H20-P20)</x:f>
        <x:v>0</x:v>
      </x:c>
      <x:c r="R20" s="32" t="str">
        <x:f>IF(Q20=0,"∞",ROUNDUP(F20/Q20,0))</x:f>
        <x:v>∞</x:v>
      </x:c>
    </x:row>
    <x:row r="21">
      <x:c r="A21" t="inlineStr">
        <x:is>
          <x:t xml:space="preserve">mage</x:t>
        </x:is>
      </x:c>
      <x:c r="B21" t="inlineStr">
        <x:is>
          <x:t xml:space="preserve">peasant</x:t>
        </x:is>
      </x:c>
      <x:c r="C21" s="5" t="n">
        <x:f>VLOOKUP(A21,'01_Hero_Base'!$A$5:$N$12,5,FALSE)</x:f>
        <x:v>2</x:v>
      </x:c>
      <x:c r="D21" s="5" t="n">
        <x:f>VLOOKUP(A21,'01_Hero_Base'!$A$5:$N$12,6,FALSE)</x:f>
        <x:v>4</x:v>
      </x:c>
      <x:c r="E21" s="5" t="n">
        <x:f>VLOOKUP(B21,'01_Hero_Base'!$A$5:$N$12,6,FALSE)</x:f>
        <x:v>2</x:v>
      </x:c>
      <x:c r="F21" s="5" t="n">
        <x:f>VLOOKUP(B21,'01_Hero_Base'!$A$5:$N$12,7,FALSE)</x:f>
        <x:v>16</x:v>
      </x:c>
      <x:c r="G21" s="5" t="str">
        <x:f>VLOOKUP(A21,'01_Hero_Base'!$A$5:$N$12,4,FALSE)</x:f>
        <x:v>Magical</x:v>
      </x:c>
      <x:c r="H21" s="5" t="n">
        <x:f>D21</x:f>
        <x:v>4</x:v>
      </x:c>
      <x:c r="I21" s="5" t="n">
        <x:f>MAX(0,E21-'00_Assumptions'!$C$10)</x:f>
        <x:v>1</x:v>
      </x:c>
      <x:c r="J21" s="5" t="n">
        <x:f>H21-I21</x:f>
        <x:v>3</x:v>
      </x:c>
      <x:c r="K21" s="5" t="n">
        <x:f>IF(C21=0,0,H21/C21)</x:f>
        <x:v>2</x:v>
      </x:c>
      <x:c r="L21" s="5" t="n">
        <x:f>IF(H21=0,"∞",ROUNDUP(F21/H21,0))</x:f>
        <x:v>4</x:v>
      </x:c>
      <x:c r="M21" s="5" t="str">
        <x:f>IF(I21&gt;=3,"高",IF(I21&gt;=2,"中","低"))</x:f>
        <x:v>低</x:v>
      </x:c>
      <x:c r="N21" s="29" t="n">
        <x:f>VLOOKUP(B21,'01_Hero_Base'!$A$5:$P$12,15,FALSE)</x:f>
        <x:v>0</x:v>
      </x:c>
      <x:c r="O21" s="30" t="n">
        <x:f>VLOOKUP(B21,'01_Hero_Base'!$A$5:$P$12,16,FALSE)</x:f>
        <x:v>0</x:v>
      </x:c>
      <x:c r="P21" s="30" t="n">
        <x:f>IF(G21="Physical",N21,IF(G21="Magical",O21,0))</x:f>
        <x:v>0</x:v>
      </x:c>
      <x:c r="Q21" s="31" t="n">
        <x:f>MAX(0,H21-P21)</x:f>
        <x:v>4</x:v>
      </x:c>
      <x:c r="R21" s="32" t="n">
        <x:f>IF(Q21=0,"∞",ROUNDUP(F21/Q21,0))</x:f>
        <x:v>4</x:v>
      </x:c>
    </x:row>
    <x:row r="22">
      <x:c r="A22" t="inlineStr">
        <x:is>
          <x:t xml:space="preserve">mage</x:t>
        </x:is>
      </x:c>
      <x:c r="B22" t="inlineStr">
        <x:is>
          <x:t xml:space="preserve">princess</x:t>
        </x:is>
      </x:c>
      <x:c r="C22" s="5" t="n">
        <x:f>VLOOKUP(A22,'01_Hero_Base'!$A$5:$N$12,5,FALSE)</x:f>
        <x:v>2</x:v>
      </x:c>
      <x:c r="D22" s="5" t="n">
        <x:f>VLOOKUP(A22,'01_Hero_Base'!$A$5:$N$12,6,FALSE)</x:f>
        <x:v>4</x:v>
      </x:c>
      <x:c r="E22" s="5" t="n">
        <x:f>VLOOKUP(B22,'01_Hero_Base'!$A$5:$N$12,6,FALSE)</x:f>
        <x:v>1</x:v>
      </x:c>
      <x:c r="F22" s="5" t="n">
        <x:f>VLOOKUP(B22,'01_Hero_Base'!$A$5:$N$12,7,FALSE)</x:f>
        <x:v>12</x:v>
      </x:c>
      <x:c r="G22" s="5" t="str">
        <x:f>VLOOKUP(A22,'01_Hero_Base'!$A$5:$N$12,4,FALSE)</x:f>
        <x:v>Magical</x:v>
      </x:c>
      <x:c r="H22" s="5" t="n">
        <x:f>D22</x:f>
        <x:v>4</x:v>
      </x:c>
      <x:c r="I22" s="5" t="n">
        <x:f>MAX(0,E22-'00_Assumptions'!$C$10)</x:f>
        <x:v>0</x:v>
      </x:c>
      <x:c r="J22" s="5" t="n">
        <x:f>H22-I22</x:f>
        <x:v>4</x:v>
      </x:c>
      <x:c r="K22" s="5" t="n">
        <x:f>IF(C22=0,0,H22/C22)</x:f>
        <x:v>2</x:v>
      </x:c>
      <x:c r="L22" s="5" t="n">
        <x:f>IF(H22=0,"∞",ROUNDUP(F22/H22,0))</x:f>
        <x:v>3</x:v>
      </x:c>
      <x:c r="M22" s="5" t="str">
        <x:f>IF(I22&gt;=3,"高",IF(I22&gt;=2,"中","低"))</x:f>
        <x:v>低</x:v>
      </x:c>
      <x:c r="N22" s="29" t="n">
        <x:f>VLOOKUP(B22,'01_Hero_Base'!$A$5:$P$12,15,FALSE)</x:f>
        <x:v>0</x:v>
      </x:c>
      <x:c r="O22" s="30" t="n">
        <x:f>VLOOKUP(B22,'01_Hero_Base'!$A$5:$P$12,16,FALSE)</x:f>
        <x:v>0</x:v>
      </x:c>
      <x:c r="P22" s="30" t="n">
        <x:f>IF(G22="Physical",N22,IF(G22="Magical",O22,0))</x:f>
        <x:v>0</x:v>
      </x:c>
      <x:c r="Q22" s="31" t="n">
        <x:f>MAX(0,H22-P22)</x:f>
        <x:v>4</x:v>
      </x:c>
      <x:c r="R22" s="32" t="n">
        <x:f>IF(Q22=0,"∞",ROUNDUP(F22/Q22,0))</x:f>
        <x:v>3</x:v>
      </x:c>
    </x:row>
    <x:row r="23">
      <x:c r="A23" t="inlineStr">
        <x:is>
          <x:t xml:space="preserve">mage</x:t>
        </x:is>
      </x:c>
      <x:c r="B23" t="inlineStr">
        <x:is>
          <x:t xml:space="preserve">mage</x:t>
        </x:is>
      </x:c>
      <x:c r="C23" s="5" t="n">
        <x:f>VLOOKUP(A23,'01_Hero_Base'!$A$5:$N$12,5,FALSE)</x:f>
        <x:v>2</x:v>
      </x:c>
      <x:c r="D23" s="5" t="n">
        <x:f>VLOOKUP(A23,'01_Hero_Base'!$A$5:$N$12,6,FALSE)</x:f>
        <x:v>4</x:v>
      </x:c>
      <x:c r="E23" s="5" t="n">
        <x:f>VLOOKUP(B23,'01_Hero_Base'!$A$5:$N$12,6,FALSE)</x:f>
        <x:v>4</x:v>
      </x:c>
      <x:c r="F23" s="5" t="n">
        <x:f>VLOOKUP(B23,'01_Hero_Base'!$A$5:$N$12,7,FALSE)</x:f>
        <x:v>16</x:v>
      </x:c>
      <x:c r="G23" s="5" t="str">
        <x:f>VLOOKUP(A23,'01_Hero_Base'!$A$5:$N$12,4,FALSE)</x:f>
        <x:v>Magical</x:v>
      </x:c>
      <x:c r="H23" s="5" t="n">
        <x:f>D23</x:f>
        <x:v>4</x:v>
      </x:c>
      <x:c r="I23" s="5" t="n">
        <x:f>MAX(0,E23-'00_Assumptions'!$C$10)</x:f>
        <x:v>3</x:v>
      </x:c>
      <x:c r="J23" s="5" t="n">
        <x:f>H23-I23</x:f>
        <x:v>1</x:v>
      </x:c>
      <x:c r="K23" s="5" t="n">
        <x:f>IF(C23=0,0,H23/C23)</x:f>
        <x:v>2</x:v>
      </x:c>
      <x:c r="L23" s="5" t="n">
        <x:f>IF(H23=0,"∞",ROUNDUP(F23/H23,0))</x:f>
        <x:v>4</x:v>
      </x:c>
      <x:c r="M23" s="5" t="str">
        <x:f>IF(I23&gt;=3,"高",IF(I23&gt;=2,"中","低"))</x:f>
        <x:v>高</x:v>
      </x:c>
      <x:c r="N23" s="29" t="n">
        <x:f>VLOOKUP(B23,'01_Hero_Base'!$A$5:$P$12,15,FALSE)</x:f>
        <x:v>0</x:v>
      </x:c>
      <x:c r="O23" s="30" t="n">
        <x:f>VLOOKUP(B23,'01_Hero_Base'!$A$5:$P$12,16,FALSE)</x:f>
        <x:v>0</x:v>
      </x:c>
      <x:c r="P23" s="30" t="n">
        <x:f>IF(G23="Physical",N23,IF(G23="Magical",O23,0))</x:f>
        <x:v>0</x:v>
      </x:c>
      <x:c r="Q23" s="31" t="n">
        <x:f>MAX(0,H23-P23)</x:f>
        <x:v>4</x:v>
      </x:c>
      <x:c r="R23" s="32" t="n">
        <x:f>IF(Q23=0,"∞",ROUNDUP(F23/Q23,0))</x:f>
        <x:v>4</x:v>
      </x:c>
    </x:row>
    <x:row r="24">
      <x:c r="A24" t="inlineStr">
        <x:is>
          <x:t xml:space="preserve">mage</x:t>
        </x:is>
      </x:c>
      <x:c r="B24" t="inlineStr">
        <x:is>
          <x:t xml:space="preserve">oracle</x:t>
        </x:is>
      </x:c>
      <x:c r="C24" s="5" t="n">
        <x:f>VLOOKUP(A24,'01_Hero_Base'!$A$5:$N$12,5,FALSE)</x:f>
        <x:v>2</x:v>
      </x:c>
      <x:c r="D24" s="5" t="n">
        <x:f>VLOOKUP(A24,'01_Hero_Base'!$A$5:$N$12,6,FALSE)</x:f>
        <x:v>4</x:v>
      </x:c>
      <x:c r="E24" s="5" t="n">
        <x:f>VLOOKUP(B24,'01_Hero_Base'!$A$5:$N$12,6,FALSE)</x:f>
        <x:v>1</x:v>
      </x:c>
      <x:c r="F24" s="5" t="n">
        <x:f>VLOOKUP(B24,'01_Hero_Base'!$A$5:$N$12,7,FALSE)</x:f>
        <x:v>14</x:v>
      </x:c>
      <x:c r="G24" s="5" t="str">
        <x:f>VLOOKUP(A24,'01_Hero_Base'!$A$5:$N$12,4,FALSE)</x:f>
        <x:v>Magical</x:v>
      </x:c>
      <x:c r="H24" s="5" t="n">
        <x:f>D24</x:f>
        <x:v>4</x:v>
      </x:c>
      <x:c r="I24" s="5" t="n">
        <x:f>MAX(0,E24-'00_Assumptions'!$C$10)</x:f>
        <x:v>0</x:v>
      </x:c>
      <x:c r="J24" s="5" t="n">
        <x:f>H24-I24</x:f>
        <x:v>4</x:v>
      </x:c>
      <x:c r="K24" s="5" t="n">
        <x:f>IF(C24=0,0,H24/C24)</x:f>
        <x:v>2</x:v>
      </x:c>
      <x:c r="L24" s="5" t="n">
        <x:f>IF(H24=0,"∞",ROUNDUP(F24/H24,0))</x:f>
        <x:v>4</x:v>
      </x:c>
      <x:c r="M24" s="5" t="str">
        <x:f>IF(I24&gt;=3,"高",IF(I24&gt;=2,"中","低"))</x:f>
        <x:v>低</x:v>
      </x:c>
      <x:c r="N24" s="29" t="n">
        <x:f>VLOOKUP(B24,'01_Hero_Base'!$A$5:$P$12,15,FALSE)</x:f>
        <x:v>0</x:v>
      </x:c>
      <x:c r="O24" s="30" t="n">
        <x:f>VLOOKUP(B24,'01_Hero_Base'!$A$5:$P$12,16,FALSE)</x:f>
        <x:v>1</x:v>
      </x:c>
      <x:c r="P24" s="30" t="n">
        <x:f>IF(G24="Physical",N24,IF(G24="Magical",O24,0))</x:f>
        <x:v>1</x:v>
      </x:c>
      <x:c r="Q24" s="31" t="n">
        <x:f>MAX(0,H24-P24)</x:f>
        <x:v>3</x:v>
      </x:c>
      <x:c r="R24" s="32" t="n">
        <x:f>IF(Q24=0,"∞",ROUNDUP(F24/Q24,0))</x:f>
        <x:v>5</x:v>
      </x:c>
    </x:row>
    <x:row r="25">
      <x:c r="A25" t="inlineStr">
        <x:is>
          <x:t xml:space="preserve">mage</x:t>
        </x:is>
      </x:c>
      <x:c r="B25" t="inlineStr">
        <x:is>
          <x:t xml:space="preserve">knight</x:t>
        </x:is>
      </x:c>
      <x:c r="C25" s="5" t="n">
        <x:f>VLOOKUP(A25,'01_Hero_Base'!$A$5:$N$12,5,FALSE)</x:f>
        <x:v>2</x:v>
      </x:c>
      <x:c r="D25" s="5" t="n">
        <x:f>VLOOKUP(A25,'01_Hero_Base'!$A$5:$N$12,6,FALSE)</x:f>
        <x:v>4</x:v>
      </x:c>
      <x:c r="E25" s="5" t="n">
        <x:f>VLOOKUP(B25,'01_Hero_Base'!$A$5:$N$12,6,FALSE)</x:f>
        <x:v>3</x:v>
      </x:c>
      <x:c r="F25" s="5" t="n">
        <x:f>VLOOKUP(B25,'01_Hero_Base'!$A$5:$N$12,7,FALSE)</x:f>
        <x:v>24</x:v>
      </x:c>
      <x:c r="G25" s="5" t="str">
        <x:f>VLOOKUP(A25,'01_Hero_Base'!$A$5:$N$12,4,FALSE)</x:f>
        <x:v>Magical</x:v>
      </x:c>
      <x:c r="H25" s="5" t="n">
        <x:f>D25</x:f>
        <x:v>4</x:v>
      </x:c>
      <x:c r="I25" s="5" t="n">
        <x:f>MAX(0,E25-'00_Assumptions'!$C$10)</x:f>
        <x:v>2</x:v>
      </x:c>
      <x:c r="J25" s="5" t="n">
        <x:f>H25-I25</x:f>
        <x:v>2</x:v>
      </x:c>
      <x:c r="K25" s="5" t="n">
        <x:f>IF(C25=0,0,H25/C25)</x:f>
        <x:v>2</x:v>
      </x:c>
      <x:c r="L25" s="5" t="n">
        <x:f>IF(H25=0,"∞",ROUNDUP(F25/H25,0))</x:f>
        <x:v>6</x:v>
      </x:c>
      <x:c r="M25" s="5" t="str">
        <x:f>IF(I25&gt;=3,"高",IF(I25&gt;=2,"中","低"))</x:f>
        <x:v>中</x:v>
      </x:c>
      <x:c r="N25" s="29" t="n">
        <x:f>VLOOKUP(B25,'01_Hero_Base'!$A$5:$P$12,15,FALSE)</x:f>
        <x:v>1</x:v>
      </x:c>
      <x:c r="O25" s="30" t="n">
        <x:f>VLOOKUP(B25,'01_Hero_Base'!$A$5:$P$12,16,FALSE)</x:f>
        <x:v>0</x:v>
      </x:c>
      <x:c r="P25" s="30" t="n">
        <x:f>IF(G25="Physical",N25,IF(G25="Magical",O25,0))</x:f>
        <x:v>0</x:v>
      </x:c>
      <x:c r="Q25" s="31" t="n">
        <x:f>MAX(0,H25-P25)</x:f>
        <x:v>4</x:v>
      </x:c>
      <x:c r="R25" s="32" t="n">
        <x:f>IF(Q25=0,"∞",ROUNDUP(F25/Q25,0))</x:f>
        <x:v>6</x:v>
      </x:c>
    </x:row>
    <x:row r="26">
      <x:c r="A26" t="inlineStr">
        <x:is>
          <x:t xml:space="preserve">mage</x:t>
        </x:is>
      </x:c>
      <x:c r="B26" t="inlineStr">
        <x:is>
          <x:t xml:space="preserve">druid</x:t>
        </x:is>
      </x:c>
      <x:c r="C26" s="5" t="n">
        <x:f>VLOOKUP(A26,'01_Hero_Base'!$A$5:$N$12,5,FALSE)</x:f>
        <x:v>2</x:v>
      </x:c>
      <x:c r="D26" s="5" t="n">
        <x:f>VLOOKUP(A26,'01_Hero_Base'!$A$5:$N$12,6,FALSE)</x:f>
        <x:v>4</x:v>
      </x:c>
      <x:c r="E26" s="5" t="n">
        <x:f>VLOOKUP(B26,'01_Hero_Base'!$A$5:$N$12,6,FALSE)</x:f>
        <x:v>1</x:v>
      </x:c>
      <x:c r="F26" s="5" t="n">
        <x:f>VLOOKUP(B26,'01_Hero_Base'!$A$5:$N$12,7,FALSE)</x:f>
        <x:v>16</x:v>
      </x:c>
      <x:c r="G26" s="5" t="str">
        <x:f>VLOOKUP(A26,'01_Hero_Base'!$A$5:$N$12,4,FALSE)</x:f>
        <x:v>Magical</x:v>
      </x:c>
      <x:c r="H26" s="5" t="n">
        <x:f>D26</x:f>
        <x:v>4</x:v>
      </x:c>
      <x:c r="I26" s="5" t="n">
        <x:f>MAX(0,E26-'00_Assumptions'!$C$10)</x:f>
        <x:v>0</x:v>
      </x:c>
      <x:c r="J26" s="5" t="n">
        <x:f>H26-I26</x:f>
        <x:v>4</x:v>
      </x:c>
      <x:c r="K26" s="5" t="n">
        <x:f>IF(C26=0,0,H26/C26)</x:f>
        <x:v>2</x:v>
      </x:c>
      <x:c r="L26" s="5" t="n">
        <x:f>IF(H26=0,"∞",ROUNDUP(F26/H26,0))</x:f>
        <x:v>4</x:v>
      </x:c>
      <x:c r="M26" s="5" t="str">
        <x:f>IF(I26&gt;=3,"高",IF(I26&gt;=2,"中","低"))</x:f>
        <x:v>低</x:v>
      </x:c>
      <x:c r="N26" s="29" t="n">
        <x:f>VLOOKUP(B26,'01_Hero_Base'!$A$5:$P$12,15,FALSE)</x:f>
        <x:v>0</x:v>
      </x:c>
      <x:c r="O26" s="30" t="n">
        <x:f>VLOOKUP(B26,'01_Hero_Base'!$A$5:$P$12,16,FALSE)</x:f>
        <x:v>1</x:v>
      </x:c>
      <x:c r="P26" s="30" t="n">
        <x:f>IF(G26="Physical",N26,IF(G26="Magical",O26,0))</x:f>
        <x:v>1</x:v>
      </x:c>
      <x:c r="Q26" s="31" t="n">
        <x:f>MAX(0,H26-P26)</x:f>
        <x:v>3</x:v>
      </x:c>
      <x:c r="R26" s="32" t="n">
        <x:f>IF(Q26=0,"∞",ROUNDUP(F26/Q26,0))</x:f>
        <x:v>6</x:v>
      </x:c>
    </x:row>
    <x:row r="27">
      <x:c r="A27" t="inlineStr">
        <x:is>
          <x:t xml:space="preserve">mage</x:t>
        </x:is>
      </x:c>
      <x:c r="B27" t="inlineStr">
        <x:is>
          <x:t xml:space="preserve">barbarian</x:t>
        </x:is>
      </x:c>
      <x:c r="C27" s="5" t="n">
        <x:f>VLOOKUP(A27,'01_Hero_Base'!$A$5:$N$12,5,FALSE)</x:f>
        <x:v>2</x:v>
      </x:c>
      <x:c r="D27" s="5" t="n">
        <x:f>VLOOKUP(A27,'01_Hero_Base'!$A$5:$N$12,6,FALSE)</x:f>
        <x:v>4</x:v>
      </x:c>
      <x:c r="E27" s="5" t="n">
        <x:f>VLOOKUP(B27,'01_Hero_Base'!$A$5:$N$12,6,FALSE)</x:f>
        <x:v>4</x:v>
      </x:c>
      <x:c r="F27" s="5" t="n">
        <x:f>VLOOKUP(B27,'01_Hero_Base'!$A$5:$N$12,7,FALSE)</x:f>
        <x:v>18</x:v>
      </x:c>
      <x:c r="G27" s="5" t="str">
        <x:f>VLOOKUP(A27,'01_Hero_Base'!$A$5:$N$12,4,FALSE)</x:f>
        <x:v>Magical</x:v>
      </x:c>
      <x:c r="H27" s="5" t="n">
        <x:f>D27</x:f>
        <x:v>4</x:v>
      </x:c>
      <x:c r="I27" s="5" t="n">
        <x:f>MAX(0,E27-'00_Assumptions'!$C$10)</x:f>
        <x:v>3</x:v>
      </x:c>
      <x:c r="J27" s="5" t="n">
        <x:f>H27-I27</x:f>
        <x:v>1</x:v>
      </x:c>
      <x:c r="K27" s="5" t="n">
        <x:f>IF(C27=0,0,H27/C27)</x:f>
        <x:v>2</x:v>
      </x:c>
      <x:c r="L27" s="5" t="n">
        <x:f>IF(H27=0,"∞",ROUNDUP(F27/H27,0))</x:f>
        <x:v>5</x:v>
      </x:c>
      <x:c r="M27" s="5" t="str">
        <x:f>IF(I27&gt;=3,"高",IF(I27&gt;=2,"中","低"))</x:f>
        <x:v>高</x:v>
      </x:c>
      <x:c r="N27" s="29" t="n">
        <x:f>VLOOKUP(B27,'01_Hero_Base'!$A$5:$P$12,15,FALSE)</x:f>
        <x:v>0</x:v>
      </x:c>
      <x:c r="O27" s="30" t="n">
        <x:f>VLOOKUP(B27,'01_Hero_Base'!$A$5:$P$12,16,FALSE)</x:f>
        <x:v>0</x:v>
      </x:c>
      <x:c r="P27" s="30" t="n">
        <x:f>IF(G27="Physical",N27,IF(G27="Magical",O27,0))</x:f>
        <x:v>0</x:v>
      </x:c>
      <x:c r="Q27" s="31" t="n">
        <x:f>MAX(0,H27-P27)</x:f>
        <x:v>4</x:v>
      </x:c>
      <x:c r="R27" s="32" t="n">
        <x:f>IF(Q27=0,"∞",ROUNDUP(F27/Q27,0))</x:f>
        <x:v>5</x:v>
      </x:c>
    </x:row>
    <x:row r="28">
      <x:c r="A28" t="inlineStr">
        <x:is>
          <x:t xml:space="preserve">mage</x:t>
        </x:is>
      </x:c>
      <x:c r="B28" t="inlineStr">
        <x:is>
          <x:t xml:space="preserve">monster</x:t>
        </x:is>
      </x:c>
      <x:c r="C28" s="5" t="n">
        <x:f>VLOOKUP(A28,'01_Hero_Base'!$A$5:$N$12,5,FALSE)</x:f>
        <x:v>2</x:v>
      </x:c>
      <x:c r="D28" s="5" t="n">
        <x:f>VLOOKUP(A28,'01_Hero_Base'!$A$5:$N$12,6,FALSE)</x:f>
        <x:v>4</x:v>
      </x:c>
      <x:c r="E28" s="5" t="n">
        <x:f>VLOOKUP(B28,'01_Hero_Base'!$A$5:$N$12,6,FALSE)</x:f>
        <x:v>3</x:v>
      </x:c>
      <x:c r="F28" s="5" t="n">
        <x:f>VLOOKUP(B28,'01_Hero_Base'!$A$5:$N$12,7,FALSE)</x:f>
        <x:v>22</x:v>
      </x:c>
      <x:c r="G28" s="5" t="str">
        <x:f>VLOOKUP(A28,'01_Hero_Base'!$A$5:$N$12,4,FALSE)</x:f>
        <x:v>Magical</x:v>
      </x:c>
      <x:c r="H28" s="5" t="n">
        <x:f>D28</x:f>
        <x:v>4</x:v>
      </x:c>
      <x:c r="I28" s="5" t="n">
        <x:f>MAX(0,E28-'00_Assumptions'!$C$10)</x:f>
        <x:v>2</x:v>
      </x:c>
      <x:c r="J28" s="5" t="n">
        <x:f>H28-I28</x:f>
        <x:v>2</x:v>
      </x:c>
      <x:c r="K28" s="5" t="n">
        <x:f>IF(C28=0,0,H28/C28)</x:f>
        <x:v>2</x:v>
      </x:c>
      <x:c r="L28" s="5" t="n">
        <x:f>IF(H28=0,"∞",ROUNDUP(F28/H28,0))</x:f>
        <x:v>6</x:v>
      </x:c>
      <x:c r="M28" s="5" t="str">
        <x:f>IF(I28&gt;=3,"高",IF(I28&gt;=2,"中","低"))</x:f>
        <x:v>中</x:v>
      </x:c>
      <x:c r="N28" s="29" t="n">
        <x:f>VLOOKUP(B28,'01_Hero_Base'!$A$5:$P$12,15,FALSE)</x:f>
        <x:v>1</x:v>
      </x:c>
      <x:c r="O28" s="30" t="n">
        <x:f>VLOOKUP(B28,'01_Hero_Base'!$A$5:$P$12,16,FALSE)</x:f>
        <x:v>0</x:v>
      </x:c>
      <x:c r="P28" s="30" t="n">
        <x:f>IF(G28="Physical",N28,IF(G28="Magical",O28,0))</x:f>
        <x:v>0</x:v>
      </x:c>
      <x:c r="Q28" s="31" t="n">
        <x:f>MAX(0,H28-P28)</x:f>
        <x:v>4</x:v>
      </x:c>
      <x:c r="R28" s="32" t="n">
        <x:f>IF(Q28=0,"∞",ROUNDUP(F28/Q28,0))</x:f>
        <x:v>6</x:v>
      </x:c>
    </x:row>
    <x:row r="29">
      <x:c r="A29" t="inlineStr">
        <x:is>
          <x:t xml:space="preserve">oracle</x:t>
        </x:is>
      </x:c>
      <x:c r="B29" t="inlineStr">
        <x:is>
          <x:t xml:space="preserve">peasant</x:t>
        </x:is>
      </x:c>
      <x:c r="C29" s="5" t="n">
        <x:f>VLOOKUP(A29,'01_Hero_Base'!$A$5:$N$12,5,FALSE)</x:f>
        <x:v>1</x:v>
      </x:c>
      <x:c r="D29" s="5" t="n">
        <x:f>VLOOKUP(A29,'01_Hero_Base'!$A$5:$N$12,6,FALSE)</x:f>
        <x:v>1</x:v>
      </x:c>
      <x:c r="E29" s="5" t="n">
        <x:f>VLOOKUP(B29,'01_Hero_Base'!$A$5:$N$12,6,FALSE)</x:f>
        <x:v>2</x:v>
      </x:c>
      <x:c r="F29" s="5" t="n">
        <x:f>VLOOKUP(B29,'01_Hero_Base'!$A$5:$N$12,7,FALSE)</x:f>
        <x:v>16</x:v>
      </x:c>
      <x:c r="G29" s="5" t="str">
        <x:f>VLOOKUP(A29,'01_Hero_Base'!$A$5:$N$12,4,FALSE)</x:f>
        <x:v>Magical</x:v>
      </x:c>
      <x:c r="H29" s="5" t="n">
        <x:f>D29</x:f>
        <x:v>1</x:v>
      </x:c>
      <x:c r="I29" s="5" t="n">
        <x:f>MAX(0,E29-'00_Assumptions'!$C$10)</x:f>
        <x:v>1</x:v>
      </x:c>
      <x:c r="J29" s="5" t="n">
        <x:f>H29-I29</x:f>
        <x:v>0</x:v>
      </x:c>
      <x:c r="K29" s="5" t="n">
        <x:f>IF(C29=0,0,H29/C29)</x:f>
        <x:v>1</x:v>
      </x:c>
      <x:c r="L29" s="5" t="n">
        <x:f>IF(H29=0,"∞",ROUNDUP(F29/H29,0))</x:f>
        <x:v>16</x:v>
      </x:c>
      <x:c r="M29" s="5" t="str">
        <x:f>IF(I29&gt;=3,"高",IF(I29&gt;=2,"中","低"))</x:f>
        <x:v>低</x:v>
      </x:c>
      <x:c r="N29" s="29" t="n">
        <x:f>VLOOKUP(B29,'01_Hero_Base'!$A$5:$P$12,15,FALSE)</x:f>
        <x:v>0</x:v>
      </x:c>
      <x:c r="O29" s="30" t="n">
        <x:f>VLOOKUP(B29,'01_Hero_Base'!$A$5:$P$12,16,FALSE)</x:f>
        <x:v>0</x:v>
      </x:c>
      <x:c r="P29" s="30" t="n">
        <x:f>IF(G29="Physical",N29,IF(G29="Magical",O29,0))</x:f>
        <x:v>0</x:v>
      </x:c>
      <x:c r="Q29" s="31" t="n">
        <x:f>MAX(0,H29-P29)</x:f>
        <x:v>1</x:v>
      </x:c>
      <x:c r="R29" s="32" t="n">
        <x:f>IF(Q29=0,"∞",ROUNDUP(F29/Q29,0))</x:f>
        <x:v>16</x:v>
      </x:c>
    </x:row>
    <x:row r="30">
      <x:c r="A30" t="inlineStr">
        <x:is>
          <x:t xml:space="preserve">oracle</x:t>
        </x:is>
      </x:c>
      <x:c r="B30" t="inlineStr">
        <x:is>
          <x:t xml:space="preserve">princess</x:t>
        </x:is>
      </x:c>
      <x:c r="C30" s="5" t="n">
        <x:f>VLOOKUP(A30,'01_Hero_Base'!$A$5:$N$12,5,FALSE)</x:f>
        <x:v>1</x:v>
      </x:c>
      <x:c r="D30" s="5" t="n">
        <x:f>VLOOKUP(A30,'01_Hero_Base'!$A$5:$N$12,6,FALSE)</x:f>
        <x:v>1</x:v>
      </x:c>
      <x:c r="E30" s="5" t="n">
        <x:f>VLOOKUP(B30,'01_Hero_Base'!$A$5:$N$12,6,FALSE)</x:f>
        <x:v>1</x:v>
      </x:c>
      <x:c r="F30" s="5" t="n">
        <x:f>VLOOKUP(B30,'01_Hero_Base'!$A$5:$N$12,7,FALSE)</x:f>
        <x:v>12</x:v>
      </x:c>
      <x:c r="G30" s="5" t="str">
        <x:f>VLOOKUP(A30,'01_Hero_Base'!$A$5:$N$12,4,FALSE)</x:f>
        <x:v>Magical</x:v>
      </x:c>
      <x:c r="H30" s="5" t="n">
        <x:f>D30</x:f>
        <x:v>1</x:v>
      </x:c>
      <x:c r="I30" s="5" t="n">
        <x:f>MAX(0,E30-'00_Assumptions'!$C$10)</x:f>
        <x:v>0</x:v>
      </x:c>
      <x:c r="J30" s="5" t="n">
        <x:f>H30-I30</x:f>
        <x:v>1</x:v>
      </x:c>
      <x:c r="K30" s="5" t="n">
        <x:f>IF(C30=0,0,H30/C30)</x:f>
        <x:v>1</x:v>
      </x:c>
      <x:c r="L30" s="5" t="n">
        <x:f>IF(H30=0,"∞",ROUNDUP(F30/H30,0))</x:f>
        <x:v>12</x:v>
      </x:c>
      <x:c r="M30" s="5" t="str">
        <x:f>IF(I30&gt;=3,"高",IF(I30&gt;=2,"中","低"))</x:f>
        <x:v>低</x:v>
      </x:c>
      <x:c r="N30" s="29" t="n">
        <x:f>VLOOKUP(B30,'01_Hero_Base'!$A$5:$P$12,15,FALSE)</x:f>
        <x:v>0</x:v>
      </x:c>
      <x:c r="O30" s="30" t="n">
        <x:f>VLOOKUP(B30,'01_Hero_Base'!$A$5:$P$12,16,FALSE)</x:f>
        <x:v>0</x:v>
      </x:c>
      <x:c r="P30" s="30" t="n">
        <x:f>IF(G30="Physical",N30,IF(G30="Magical",O30,0))</x:f>
        <x:v>0</x:v>
      </x:c>
      <x:c r="Q30" s="31" t="n">
        <x:f>MAX(0,H30-P30)</x:f>
        <x:v>1</x:v>
      </x:c>
      <x:c r="R30" s="32" t="n">
        <x:f>IF(Q30=0,"∞",ROUNDUP(F30/Q30,0))</x:f>
        <x:v>12</x:v>
      </x:c>
    </x:row>
    <x:row r="31">
      <x:c r="A31" t="inlineStr">
        <x:is>
          <x:t xml:space="preserve">oracle</x:t>
        </x:is>
      </x:c>
      <x:c r="B31" t="inlineStr">
        <x:is>
          <x:t xml:space="preserve">mage</x:t>
        </x:is>
      </x:c>
      <x:c r="C31" s="5" t="n">
        <x:f>VLOOKUP(A31,'01_Hero_Base'!$A$5:$N$12,5,FALSE)</x:f>
        <x:v>1</x:v>
      </x:c>
      <x:c r="D31" s="5" t="n">
        <x:f>VLOOKUP(A31,'01_Hero_Base'!$A$5:$N$12,6,FALSE)</x:f>
        <x:v>1</x:v>
      </x:c>
      <x:c r="E31" s="5" t="n">
        <x:f>VLOOKUP(B31,'01_Hero_Base'!$A$5:$N$12,6,FALSE)</x:f>
        <x:v>4</x:v>
      </x:c>
      <x:c r="F31" s="5" t="n">
        <x:f>VLOOKUP(B31,'01_Hero_Base'!$A$5:$N$12,7,FALSE)</x:f>
        <x:v>16</x:v>
      </x:c>
      <x:c r="G31" s="5" t="str">
        <x:f>VLOOKUP(A31,'01_Hero_Base'!$A$5:$N$12,4,FALSE)</x:f>
        <x:v>Magical</x:v>
      </x:c>
      <x:c r="H31" s="5" t="n">
        <x:f>D31</x:f>
        <x:v>1</x:v>
      </x:c>
      <x:c r="I31" s="5" t="n">
        <x:f>MAX(0,E31-'00_Assumptions'!$C$10)</x:f>
        <x:v>3</x:v>
      </x:c>
      <x:c r="J31" s="5" t="n">
        <x:f>H31-I31</x:f>
        <x:v>-2</x:v>
      </x:c>
      <x:c r="K31" s="5" t="n">
        <x:f>IF(C31=0,0,H31/C31)</x:f>
        <x:v>1</x:v>
      </x:c>
      <x:c r="L31" s="5" t="n">
        <x:f>IF(H31=0,"∞",ROUNDUP(F31/H31,0))</x:f>
        <x:v>16</x:v>
      </x:c>
      <x:c r="M31" s="5" t="str">
        <x:f>IF(I31&gt;=3,"高",IF(I31&gt;=2,"中","低"))</x:f>
        <x:v>高</x:v>
      </x:c>
      <x:c r="N31" s="29" t="n">
        <x:f>VLOOKUP(B31,'01_Hero_Base'!$A$5:$P$12,15,FALSE)</x:f>
        <x:v>0</x:v>
      </x:c>
      <x:c r="O31" s="30" t="n">
        <x:f>VLOOKUP(B31,'01_Hero_Base'!$A$5:$P$12,16,FALSE)</x:f>
        <x:v>0</x:v>
      </x:c>
      <x:c r="P31" s="30" t="n">
        <x:f>IF(G31="Physical",N31,IF(G31="Magical",O31,0))</x:f>
        <x:v>0</x:v>
      </x:c>
      <x:c r="Q31" s="31" t="n">
        <x:f>MAX(0,H31-P31)</x:f>
        <x:v>1</x:v>
      </x:c>
      <x:c r="R31" s="32" t="n">
        <x:f>IF(Q31=0,"∞",ROUNDUP(F31/Q31,0))</x:f>
        <x:v>16</x:v>
      </x:c>
    </x:row>
    <x:row r="32">
      <x:c r="A32" t="inlineStr">
        <x:is>
          <x:t xml:space="preserve">oracle</x:t>
        </x:is>
      </x:c>
      <x:c r="B32" t="inlineStr">
        <x:is>
          <x:t xml:space="preserve">oracle</x:t>
        </x:is>
      </x:c>
      <x:c r="C32" s="5" t="n">
        <x:f>VLOOKUP(A32,'01_Hero_Base'!$A$5:$N$12,5,FALSE)</x:f>
        <x:v>1</x:v>
      </x:c>
      <x:c r="D32" s="5" t="n">
        <x:f>VLOOKUP(A32,'01_Hero_Base'!$A$5:$N$12,6,FALSE)</x:f>
        <x:v>1</x:v>
      </x:c>
      <x:c r="E32" s="5" t="n">
        <x:f>VLOOKUP(B32,'01_Hero_Base'!$A$5:$N$12,6,FALSE)</x:f>
        <x:v>1</x:v>
      </x:c>
      <x:c r="F32" s="5" t="n">
        <x:f>VLOOKUP(B32,'01_Hero_Base'!$A$5:$N$12,7,FALSE)</x:f>
        <x:v>14</x:v>
      </x:c>
      <x:c r="G32" s="5" t="str">
        <x:f>VLOOKUP(A32,'01_Hero_Base'!$A$5:$N$12,4,FALSE)</x:f>
        <x:v>Magical</x:v>
      </x:c>
      <x:c r="H32" s="5" t="n">
        <x:f>D32</x:f>
        <x:v>1</x:v>
      </x:c>
      <x:c r="I32" s="5" t="n">
        <x:f>MAX(0,E32-'00_Assumptions'!$C$10)</x:f>
        <x:v>0</x:v>
      </x:c>
      <x:c r="J32" s="5" t="n">
        <x:f>H32-I32</x:f>
        <x:v>1</x:v>
      </x:c>
      <x:c r="K32" s="5" t="n">
        <x:f>IF(C32=0,0,H32/C32)</x:f>
        <x:v>1</x:v>
      </x:c>
      <x:c r="L32" s="5" t="n">
        <x:f>IF(H32=0,"∞",ROUNDUP(F32/H32,0))</x:f>
        <x:v>14</x:v>
      </x:c>
      <x:c r="M32" s="5" t="str">
        <x:f>IF(I32&gt;=3,"高",IF(I32&gt;=2,"中","低"))</x:f>
        <x:v>低</x:v>
      </x:c>
      <x:c r="N32" s="29" t="n">
        <x:f>VLOOKUP(B32,'01_Hero_Base'!$A$5:$P$12,15,FALSE)</x:f>
        <x:v>0</x:v>
      </x:c>
      <x:c r="O32" s="30" t="n">
        <x:f>VLOOKUP(B32,'01_Hero_Base'!$A$5:$P$12,16,FALSE)</x:f>
        <x:v>1</x:v>
      </x:c>
      <x:c r="P32" s="30" t="n">
        <x:f>IF(G32="Physical",N32,IF(G32="Magical",O32,0))</x:f>
        <x:v>1</x:v>
      </x:c>
      <x:c r="Q32" s="31" t="n">
        <x:f>MAX(0,H32-P32)</x:f>
        <x:v>0</x:v>
      </x:c>
      <x:c r="R32" s="32" t="str">
        <x:f>IF(Q32=0,"∞",ROUNDUP(F32/Q32,0))</x:f>
        <x:v>∞</x:v>
      </x:c>
    </x:row>
    <x:row r="33">
      <x:c r="A33" t="inlineStr">
        <x:is>
          <x:t xml:space="preserve">oracle</x:t>
        </x:is>
      </x:c>
      <x:c r="B33" t="inlineStr">
        <x:is>
          <x:t xml:space="preserve">knight</x:t>
        </x:is>
      </x:c>
      <x:c r="C33" s="5" t="n">
        <x:f>VLOOKUP(A33,'01_Hero_Base'!$A$5:$N$12,5,FALSE)</x:f>
        <x:v>1</x:v>
      </x:c>
      <x:c r="D33" s="5" t="n">
        <x:f>VLOOKUP(A33,'01_Hero_Base'!$A$5:$N$12,6,FALSE)</x:f>
        <x:v>1</x:v>
      </x:c>
      <x:c r="E33" s="5" t="n">
        <x:f>VLOOKUP(B33,'01_Hero_Base'!$A$5:$N$12,6,FALSE)</x:f>
        <x:v>3</x:v>
      </x:c>
      <x:c r="F33" s="5" t="n">
        <x:f>VLOOKUP(B33,'01_Hero_Base'!$A$5:$N$12,7,FALSE)</x:f>
        <x:v>24</x:v>
      </x:c>
      <x:c r="G33" s="5" t="str">
        <x:f>VLOOKUP(A33,'01_Hero_Base'!$A$5:$N$12,4,FALSE)</x:f>
        <x:v>Magical</x:v>
      </x:c>
      <x:c r="H33" s="5" t="n">
        <x:f>D33</x:f>
        <x:v>1</x:v>
      </x:c>
      <x:c r="I33" s="5" t="n">
        <x:f>MAX(0,E33-'00_Assumptions'!$C$10)</x:f>
        <x:v>2</x:v>
      </x:c>
      <x:c r="J33" s="5" t="n">
        <x:f>H33-I33</x:f>
        <x:v>-1</x:v>
      </x:c>
      <x:c r="K33" s="5" t="n">
        <x:f>IF(C33=0,0,H33/C33)</x:f>
        <x:v>1</x:v>
      </x:c>
      <x:c r="L33" s="5" t="n">
        <x:f>IF(H33=0,"∞",ROUNDUP(F33/H33,0))</x:f>
        <x:v>24</x:v>
      </x:c>
      <x:c r="M33" s="5" t="str">
        <x:f>IF(I33&gt;=3,"高",IF(I33&gt;=2,"中","低"))</x:f>
        <x:v>中</x:v>
      </x:c>
      <x:c r="N33" s="29" t="n">
        <x:f>VLOOKUP(B33,'01_Hero_Base'!$A$5:$P$12,15,FALSE)</x:f>
        <x:v>1</x:v>
      </x:c>
      <x:c r="O33" s="30" t="n">
        <x:f>VLOOKUP(B33,'01_Hero_Base'!$A$5:$P$12,16,FALSE)</x:f>
        <x:v>0</x:v>
      </x:c>
      <x:c r="P33" s="30" t="n">
        <x:f>IF(G33="Physical",N33,IF(G33="Magical",O33,0))</x:f>
        <x:v>0</x:v>
      </x:c>
      <x:c r="Q33" s="31" t="n">
        <x:f>MAX(0,H33-P33)</x:f>
        <x:v>1</x:v>
      </x:c>
      <x:c r="R33" s="32" t="n">
        <x:f>IF(Q33=0,"∞",ROUNDUP(F33/Q33,0))</x:f>
        <x:v>24</x:v>
      </x:c>
    </x:row>
    <x:row r="34">
      <x:c r="A34" t="inlineStr">
        <x:is>
          <x:t xml:space="preserve">oracle</x:t>
        </x:is>
      </x:c>
      <x:c r="B34" t="inlineStr">
        <x:is>
          <x:t xml:space="preserve">druid</x:t>
        </x:is>
      </x:c>
      <x:c r="C34" s="5" t="n">
        <x:f>VLOOKUP(A34,'01_Hero_Base'!$A$5:$N$12,5,FALSE)</x:f>
        <x:v>1</x:v>
      </x:c>
      <x:c r="D34" s="5" t="n">
        <x:f>VLOOKUP(A34,'01_Hero_Base'!$A$5:$N$12,6,FALSE)</x:f>
        <x:v>1</x:v>
      </x:c>
      <x:c r="E34" s="5" t="n">
        <x:f>VLOOKUP(B34,'01_Hero_Base'!$A$5:$N$12,6,FALSE)</x:f>
        <x:v>1</x:v>
      </x:c>
      <x:c r="F34" s="5" t="n">
        <x:f>VLOOKUP(B34,'01_Hero_Base'!$A$5:$N$12,7,FALSE)</x:f>
        <x:v>16</x:v>
      </x:c>
      <x:c r="G34" s="5" t="str">
        <x:f>VLOOKUP(A34,'01_Hero_Base'!$A$5:$N$12,4,FALSE)</x:f>
        <x:v>Magical</x:v>
      </x:c>
      <x:c r="H34" s="5" t="n">
        <x:f>D34</x:f>
        <x:v>1</x:v>
      </x:c>
      <x:c r="I34" s="5" t="n">
        <x:f>MAX(0,E34-'00_Assumptions'!$C$10)</x:f>
        <x:v>0</x:v>
      </x:c>
      <x:c r="J34" s="5" t="n">
        <x:f>H34-I34</x:f>
        <x:v>1</x:v>
      </x:c>
      <x:c r="K34" s="5" t="n">
        <x:f>IF(C34=0,0,H34/C34)</x:f>
        <x:v>1</x:v>
      </x:c>
      <x:c r="L34" s="5" t="n">
        <x:f>IF(H34=0,"∞",ROUNDUP(F34/H34,0))</x:f>
        <x:v>16</x:v>
      </x:c>
      <x:c r="M34" s="5" t="str">
        <x:f>IF(I34&gt;=3,"高",IF(I34&gt;=2,"中","低"))</x:f>
        <x:v>低</x:v>
      </x:c>
      <x:c r="N34" s="29" t="n">
        <x:f>VLOOKUP(B34,'01_Hero_Base'!$A$5:$P$12,15,FALSE)</x:f>
        <x:v>0</x:v>
      </x:c>
      <x:c r="O34" s="30" t="n">
        <x:f>VLOOKUP(B34,'01_Hero_Base'!$A$5:$P$12,16,FALSE)</x:f>
        <x:v>1</x:v>
      </x:c>
      <x:c r="P34" s="30" t="n">
        <x:f>IF(G34="Physical",N34,IF(G34="Magical",O34,0))</x:f>
        <x:v>1</x:v>
      </x:c>
      <x:c r="Q34" s="31" t="n">
        <x:f>MAX(0,H34-P34)</x:f>
        <x:v>0</x:v>
      </x:c>
      <x:c r="R34" s="32" t="str">
        <x:f>IF(Q34=0,"∞",ROUNDUP(F34/Q34,0))</x:f>
        <x:v>∞</x:v>
      </x:c>
    </x:row>
    <x:row r="35">
      <x:c r="A35" t="inlineStr">
        <x:is>
          <x:t xml:space="preserve">oracle</x:t>
        </x:is>
      </x:c>
      <x:c r="B35" t="inlineStr">
        <x:is>
          <x:t xml:space="preserve">barbarian</x:t>
        </x:is>
      </x:c>
      <x:c r="C35" s="5" t="n">
        <x:f>VLOOKUP(A35,'01_Hero_Base'!$A$5:$N$12,5,FALSE)</x:f>
        <x:v>1</x:v>
      </x:c>
      <x:c r="D35" s="5" t="n">
        <x:f>VLOOKUP(A35,'01_Hero_Base'!$A$5:$N$12,6,FALSE)</x:f>
        <x:v>1</x:v>
      </x:c>
      <x:c r="E35" s="5" t="n">
        <x:f>VLOOKUP(B35,'01_Hero_Base'!$A$5:$N$12,6,FALSE)</x:f>
        <x:v>4</x:v>
      </x:c>
      <x:c r="F35" s="5" t="n">
        <x:f>VLOOKUP(B35,'01_Hero_Base'!$A$5:$N$12,7,FALSE)</x:f>
        <x:v>18</x:v>
      </x:c>
      <x:c r="G35" s="5" t="str">
        <x:f>VLOOKUP(A35,'01_Hero_Base'!$A$5:$N$12,4,FALSE)</x:f>
        <x:v>Magical</x:v>
      </x:c>
      <x:c r="H35" s="5" t="n">
        <x:f>D35</x:f>
        <x:v>1</x:v>
      </x:c>
      <x:c r="I35" s="5" t="n">
        <x:f>MAX(0,E35-'00_Assumptions'!$C$10)</x:f>
        <x:v>3</x:v>
      </x:c>
      <x:c r="J35" s="5" t="n">
        <x:f>H35-I35</x:f>
        <x:v>-2</x:v>
      </x:c>
      <x:c r="K35" s="5" t="n">
        <x:f>IF(C35=0,0,H35/C35)</x:f>
        <x:v>1</x:v>
      </x:c>
      <x:c r="L35" s="5" t="n">
        <x:f>IF(H35=0,"∞",ROUNDUP(F35/H35,0))</x:f>
        <x:v>18</x:v>
      </x:c>
      <x:c r="M35" s="5" t="str">
        <x:f>IF(I35&gt;=3,"高",IF(I35&gt;=2,"中","低"))</x:f>
        <x:v>高</x:v>
      </x:c>
      <x:c r="N35" s="29" t="n">
        <x:f>VLOOKUP(B35,'01_Hero_Base'!$A$5:$P$12,15,FALSE)</x:f>
        <x:v>0</x:v>
      </x:c>
      <x:c r="O35" s="30" t="n">
        <x:f>VLOOKUP(B35,'01_Hero_Base'!$A$5:$P$12,16,FALSE)</x:f>
        <x:v>0</x:v>
      </x:c>
      <x:c r="P35" s="30" t="n">
        <x:f>IF(G35="Physical",N35,IF(G35="Magical",O35,0))</x:f>
        <x:v>0</x:v>
      </x:c>
      <x:c r="Q35" s="31" t="n">
        <x:f>MAX(0,H35-P35)</x:f>
        <x:v>1</x:v>
      </x:c>
      <x:c r="R35" s="32" t="n">
        <x:f>IF(Q35=0,"∞",ROUNDUP(F35/Q35,0))</x:f>
        <x:v>18</x:v>
      </x:c>
    </x:row>
    <x:row r="36">
      <x:c r="A36" t="inlineStr">
        <x:is>
          <x:t xml:space="preserve">oracle</x:t>
        </x:is>
      </x:c>
      <x:c r="B36" t="inlineStr">
        <x:is>
          <x:t xml:space="preserve">monster</x:t>
        </x:is>
      </x:c>
      <x:c r="C36" s="5" t="n">
        <x:f>VLOOKUP(A36,'01_Hero_Base'!$A$5:$N$12,5,FALSE)</x:f>
        <x:v>1</x:v>
      </x:c>
      <x:c r="D36" s="5" t="n">
        <x:f>VLOOKUP(A36,'01_Hero_Base'!$A$5:$N$12,6,FALSE)</x:f>
        <x:v>1</x:v>
      </x:c>
      <x:c r="E36" s="5" t="n">
        <x:f>VLOOKUP(B36,'01_Hero_Base'!$A$5:$N$12,6,FALSE)</x:f>
        <x:v>3</x:v>
      </x:c>
      <x:c r="F36" s="5" t="n">
        <x:f>VLOOKUP(B36,'01_Hero_Base'!$A$5:$N$12,7,FALSE)</x:f>
        <x:v>22</x:v>
      </x:c>
      <x:c r="G36" s="5" t="str">
        <x:f>VLOOKUP(A36,'01_Hero_Base'!$A$5:$N$12,4,FALSE)</x:f>
        <x:v>Magical</x:v>
      </x:c>
      <x:c r="H36" s="5" t="n">
        <x:f>D36</x:f>
        <x:v>1</x:v>
      </x:c>
      <x:c r="I36" s="5" t="n">
        <x:f>MAX(0,E36-'00_Assumptions'!$C$10)</x:f>
        <x:v>2</x:v>
      </x:c>
      <x:c r="J36" s="5" t="n">
        <x:f>H36-I36</x:f>
        <x:v>-1</x:v>
      </x:c>
      <x:c r="K36" s="5" t="n">
        <x:f>IF(C36=0,0,H36/C36)</x:f>
        <x:v>1</x:v>
      </x:c>
      <x:c r="L36" s="5" t="n">
        <x:f>IF(H36=0,"∞",ROUNDUP(F36/H36,0))</x:f>
        <x:v>22</x:v>
      </x:c>
      <x:c r="M36" s="5" t="str">
        <x:f>IF(I36&gt;=3,"高",IF(I36&gt;=2,"中","低"))</x:f>
        <x:v>中</x:v>
      </x:c>
      <x:c r="N36" s="29" t="n">
        <x:f>VLOOKUP(B36,'01_Hero_Base'!$A$5:$P$12,15,FALSE)</x:f>
        <x:v>1</x:v>
      </x:c>
      <x:c r="O36" s="30" t="n">
        <x:f>VLOOKUP(B36,'01_Hero_Base'!$A$5:$P$12,16,FALSE)</x:f>
        <x:v>0</x:v>
      </x:c>
      <x:c r="P36" s="30" t="n">
        <x:f>IF(G36="Physical",N36,IF(G36="Magical",O36,0))</x:f>
        <x:v>0</x:v>
      </x:c>
      <x:c r="Q36" s="31" t="n">
        <x:f>MAX(0,H36-P36)</x:f>
        <x:v>1</x:v>
      </x:c>
      <x:c r="R36" s="32" t="n">
        <x:f>IF(Q36=0,"∞",ROUNDUP(F36/Q36,0))</x:f>
        <x:v>22</x:v>
      </x:c>
    </x:row>
    <x:row r="37">
      <x:c r="A37" t="inlineStr">
        <x:is>
          <x:t xml:space="preserve">knight</x:t>
        </x:is>
      </x:c>
      <x:c r="B37" t="inlineStr">
        <x:is>
          <x:t xml:space="preserve">peasant</x:t>
        </x:is>
      </x:c>
      <x:c r="C37" s="5" t="n">
        <x:f>VLOOKUP(A37,'01_Hero_Base'!$A$5:$N$12,5,FALSE)</x:f>
        <x:v>3</x:v>
      </x:c>
      <x:c r="D37" s="5" t="n">
        <x:f>VLOOKUP(A37,'01_Hero_Base'!$A$5:$N$12,6,FALSE)</x:f>
        <x:v>3</x:v>
      </x:c>
      <x:c r="E37" s="5" t="n">
        <x:f>VLOOKUP(B37,'01_Hero_Base'!$A$5:$N$12,6,FALSE)</x:f>
        <x:v>2</x:v>
      </x:c>
      <x:c r="F37" s="5" t="n">
        <x:f>VLOOKUP(B37,'01_Hero_Base'!$A$5:$N$12,7,FALSE)</x:f>
        <x:v>16</x:v>
      </x:c>
      <x:c r="G37" s="5" t="str">
        <x:f>VLOOKUP(A37,'01_Hero_Base'!$A$5:$N$12,4,FALSE)</x:f>
        <x:v>Physical</x:v>
      </x:c>
      <x:c r="H37" s="5" t="n">
        <x:f>D37</x:f>
        <x:v>3</x:v>
      </x:c>
      <x:c r="I37" s="5" t="n">
        <x:f>MAX(0,E37-'00_Assumptions'!$C$10)</x:f>
        <x:v>1</x:v>
      </x:c>
      <x:c r="J37" s="5" t="n">
        <x:f>H37-I37</x:f>
        <x:v>2</x:v>
      </x:c>
      <x:c r="K37" s="5" t="n">
        <x:f>IF(C37=0,0,H37/C37)</x:f>
        <x:v>1</x:v>
      </x:c>
      <x:c r="L37" s="5" t="n">
        <x:f>IF(H37=0,"∞",ROUNDUP(F37/H37,0))</x:f>
        <x:v>6</x:v>
      </x:c>
      <x:c r="M37" s="5" t="str">
        <x:f>IF(I37&gt;=3,"高",IF(I37&gt;=2,"中","低"))</x:f>
        <x:v>低</x:v>
      </x:c>
      <x:c r="N37" s="29" t="n">
        <x:f>VLOOKUP(B37,'01_Hero_Base'!$A$5:$P$12,15,FALSE)</x:f>
        <x:v>0</x:v>
      </x:c>
      <x:c r="O37" s="30" t="n">
        <x:f>VLOOKUP(B37,'01_Hero_Base'!$A$5:$P$12,16,FALSE)</x:f>
        <x:v>0</x:v>
      </x:c>
      <x:c r="P37" s="30" t="n">
        <x:f>IF(G37="Physical",N37,IF(G37="Magical",O37,0))</x:f>
        <x:v>0</x:v>
      </x:c>
      <x:c r="Q37" s="31" t="n">
        <x:f>MAX(0,H37-P37)</x:f>
        <x:v>3</x:v>
      </x:c>
      <x:c r="R37" s="32" t="n">
        <x:f>IF(Q37=0,"∞",ROUNDUP(F37/Q37,0))</x:f>
        <x:v>6</x:v>
      </x:c>
    </x:row>
    <x:row r="38">
      <x:c r="A38" t="inlineStr">
        <x:is>
          <x:t xml:space="preserve">knight</x:t>
        </x:is>
      </x:c>
      <x:c r="B38" t="inlineStr">
        <x:is>
          <x:t xml:space="preserve">princess</x:t>
        </x:is>
      </x:c>
      <x:c r="C38" s="5" t="n">
        <x:f>VLOOKUP(A38,'01_Hero_Base'!$A$5:$N$12,5,FALSE)</x:f>
        <x:v>3</x:v>
      </x:c>
      <x:c r="D38" s="5" t="n">
        <x:f>VLOOKUP(A38,'01_Hero_Base'!$A$5:$N$12,6,FALSE)</x:f>
        <x:v>3</x:v>
      </x:c>
      <x:c r="E38" s="5" t="n">
        <x:f>VLOOKUP(B38,'01_Hero_Base'!$A$5:$N$12,6,FALSE)</x:f>
        <x:v>1</x:v>
      </x:c>
      <x:c r="F38" s="5" t="n">
        <x:f>VLOOKUP(B38,'01_Hero_Base'!$A$5:$N$12,7,FALSE)</x:f>
        <x:v>12</x:v>
      </x:c>
      <x:c r="G38" s="5" t="str">
        <x:f>VLOOKUP(A38,'01_Hero_Base'!$A$5:$N$12,4,FALSE)</x:f>
        <x:v>Physical</x:v>
      </x:c>
      <x:c r="H38" s="5" t="n">
        <x:f>D38</x:f>
        <x:v>3</x:v>
      </x:c>
      <x:c r="I38" s="5" t="n">
        <x:f>MAX(0,E38-'00_Assumptions'!$C$10)</x:f>
        <x:v>0</x:v>
      </x:c>
      <x:c r="J38" s="5" t="n">
        <x:f>H38-I38</x:f>
        <x:v>3</x:v>
      </x:c>
      <x:c r="K38" s="5" t="n">
        <x:f>IF(C38=0,0,H38/C38)</x:f>
        <x:v>1</x:v>
      </x:c>
      <x:c r="L38" s="5" t="n">
        <x:f>IF(H38=0,"∞",ROUNDUP(F38/H38,0))</x:f>
        <x:v>4</x:v>
      </x:c>
      <x:c r="M38" s="5" t="str">
        <x:f>IF(I38&gt;=3,"高",IF(I38&gt;=2,"中","低"))</x:f>
        <x:v>低</x:v>
      </x:c>
      <x:c r="N38" s="29" t="n">
        <x:f>VLOOKUP(B38,'01_Hero_Base'!$A$5:$P$12,15,FALSE)</x:f>
        <x:v>0</x:v>
      </x:c>
      <x:c r="O38" s="30" t="n">
        <x:f>VLOOKUP(B38,'01_Hero_Base'!$A$5:$P$12,16,FALSE)</x:f>
        <x:v>0</x:v>
      </x:c>
      <x:c r="P38" s="30" t="n">
        <x:f>IF(G38="Physical",N38,IF(G38="Magical",O38,0))</x:f>
        <x:v>0</x:v>
      </x:c>
      <x:c r="Q38" s="31" t="n">
        <x:f>MAX(0,H38-P38)</x:f>
        <x:v>3</x:v>
      </x:c>
      <x:c r="R38" s="32" t="n">
        <x:f>IF(Q38=0,"∞",ROUNDUP(F38/Q38,0))</x:f>
        <x:v>4</x:v>
      </x:c>
    </x:row>
    <x:row r="39">
      <x:c r="A39" t="inlineStr">
        <x:is>
          <x:t xml:space="preserve">knight</x:t>
        </x:is>
      </x:c>
      <x:c r="B39" t="inlineStr">
        <x:is>
          <x:t xml:space="preserve">mage</x:t>
        </x:is>
      </x:c>
      <x:c r="C39" s="5" t="n">
        <x:f>VLOOKUP(A39,'01_Hero_Base'!$A$5:$N$12,5,FALSE)</x:f>
        <x:v>3</x:v>
      </x:c>
      <x:c r="D39" s="5" t="n">
        <x:f>VLOOKUP(A39,'01_Hero_Base'!$A$5:$N$12,6,FALSE)</x:f>
        <x:v>3</x:v>
      </x:c>
      <x:c r="E39" s="5" t="n">
        <x:f>VLOOKUP(B39,'01_Hero_Base'!$A$5:$N$12,6,FALSE)</x:f>
        <x:v>4</x:v>
      </x:c>
      <x:c r="F39" s="5" t="n">
        <x:f>VLOOKUP(B39,'01_Hero_Base'!$A$5:$N$12,7,FALSE)</x:f>
        <x:v>16</x:v>
      </x:c>
      <x:c r="G39" s="5" t="str">
        <x:f>VLOOKUP(A39,'01_Hero_Base'!$A$5:$N$12,4,FALSE)</x:f>
        <x:v>Physical</x:v>
      </x:c>
      <x:c r="H39" s="5" t="n">
        <x:f>D39</x:f>
        <x:v>3</x:v>
      </x:c>
      <x:c r="I39" s="5" t="n">
        <x:f>MAX(0,E39-'00_Assumptions'!$C$10)</x:f>
        <x:v>3</x:v>
      </x:c>
      <x:c r="J39" s="5" t="n">
        <x:f>H39-I39</x:f>
        <x:v>0</x:v>
      </x:c>
      <x:c r="K39" s="5" t="n">
        <x:f>IF(C39=0,0,H39/C39)</x:f>
        <x:v>1</x:v>
      </x:c>
      <x:c r="L39" s="5" t="n">
        <x:f>IF(H39=0,"∞",ROUNDUP(F39/H39,0))</x:f>
        <x:v>6</x:v>
      </x:c>
      <x:c r="M39" s="5" t="str">
        <x:f>IF(I39&gt;=3,"高",IF(I39&gt;=2,"中","低"))</x:f>
        <x:v>高</x:v>
      </x:c>
      <x:c r="N39" s="29" t="n">
        <x:f>VLOOKUP(B39,'01_Hero_Base'!$A$5:$P$12,15,FALSE)</x:f>
        <x:v>0</x:v>
      </x:c>
      <x:c r="O39" s="30" t="n">
        <x:f>VLOOKUP(B39,'01_Hero_Base'!$A$5:$P$12,16,FALSE)</x:f>
        <x:v>0</x:v>
      </x:c>
      <x:c r="P39" s="30" t="n">
        <x:f>IF(G39="Physical",N39,IF(G39="Magical",O39,0))</x:f>
        <x:v>0</x:v>
      </x:c>
      <x:c r="Q39" s="31" t="n">
        <x:f>MAX(0,H39-P39)</x:f>
        <x:v>3</x:v>
      </x:c>
      <x:c r="R39" s="32" t="n">
        <x:f>IF(Q39=0,"∞",ROUNDUP(F39/Q39,0))</x:f>
        <x:v>6</x:v>
      </x:c>
    </x:row>
    <x:row r="40">
      <x:c r="A40" t="inlineStr">
        <x:is>
          <x:t xml:space="preserve">knight</x:t>
        </x:is>
      </x:c>
      <x:c r="B40" t="inlineStr">
        <x:is>
          <x:t xml:space="preserve">oracle</x:t>
        </x:is>
      </x:c>
      <x:c r="C40" s="5" t="n">
        <x:f>VLOOKUP(A40,'01_Hero_Base'!$A$5:$N$12,5,FALSE)</x:f>
        <x:v>3</x:v>
      </x:c>
      <x:c r="D40" s="5" t="n">
        <x:f>VLOOKUP(A40,'01_Hero_Base'!$A$5:$N$12,6,FALSE)</x:f>
        <x:v>3</x:v>
      </x:c>
      <x:c r="E40" s="5" t="n">
        <x:f>VLOOKUP(B40,'01_Hero_Base'!$A$5:$N$12,6,FALSE)</x:f>
        <x:v>1</x:v>
      </x:c>
      <x:c r="F40" s="5" t="n">
        <x:f>VLOOKUP(B40,'01_Hero_Base'!$A$5:$N$12,7,FALSE)</x:f>
        <x:v>14</x:v>
      </x:c>
      <x:c r="G40" s="5" t="str">
        <x:f>VLOOKUP(A40,'01_Hero_Base'!$A$5:$N$12,4,FALSE)</x:f>
        <x:v>Physical</x:v>
      </x:c>
      <x:c r="H40" s="5" t="n">
        <x:f>D40</x:f>
        <x:v>3</x:v>
      </x:c>
      <x:c r="I40" s="5" t="n">
        <x:f>MAX(0,E40-'00_Assumptions'!$C$10)</x:f>
        <x:v>0</x:v>
      </x:c>
      <x:c r="J40" s="5" t="n">
        <x:f>H40-I40</x:f>
        <x:v>3</x:v>
      </x:c>
      <x:c r="K40" s="5" t="n">
        <x:f>IF(C40=0,0,H40/C40)</x:f>
        <x:v>1</x:v>
      </x:c>
      <x:c r="L40" s="5" t="n">
        <x:f>IF(H40=0,"∞",ROUNDUP(F40/H40,0))</x:f>
        <x:v>5</x:v>
      </x:c>
      <x:c r="M40" s="5" t="str">
        <x:f>IF(I40&gt;=3,"高",IF(I40&gt;=2,"中","低"))</x:f>
        <x:v>低</x:v>
      </x:c>
      <x:c r="N40" s="29" t="n">
        <x:f>VLOOKUP(B40,'01_Hero_Base'!$A$5:$P$12,15,FALSE)</x:f>
        <x:v>0</x:v>
      </x:c>
      <x:c r="O40" s="30" t="n">
        <x:f>VLOOKUP(B40,'01_Hero_Base'!$A$5:$P$12,16,FALSE)</x:f>
        <x:v>1</x:v>
      </x:c>
      <x:c r="P40" s="30" t="n">
        <x:f>IF(G40="Physical",N40,IF(G40="Magical",O40,0))</x:f>
        <x:v>0</x:v>
      </x:c>
      <x:c r="Q40" s="31" t="n">
        <x:f>MAX(0,H40-P40)</x:f>
        <x:v>3</x:v>
      </x:c>
      <x:c r="R40" s="32" t="n">
        <x:f>IF(Q40=0,"∞",ROUNDUP(F40/Q40,0))</x:f>
        <x:v>5</x:v>
      </x:c>
    </x:row>
    <x:row r="41">
      <x:c r="A41" t="inlineStr">
        <x:is>
          <x:t xml:space="preserve">knight</x:t>
        </x:is>
      </x:c>
      <x:c r="B41" t="inlineStr">
        <x:is>
          <x:t xml:space="preserve">knight</x:t>
        </x:is>
      </x:c>
      <x:c r="C41" s="5" t="n">
        <x:f>VLOOKUP(A41,'01_Hero_Base'!$A$5:$N$12,5,FALSE)</x:f>
        <x:v>3</x:v>
      </x:c>
      <x:c r="D41" s="5" t="n">
        <x:f>VLOOKUP(A41,'01_Hero_Base'!$A$5:$N$12,6,FALSE)</x:f>
        <x:v>3</x:v>
      </x:c>
      <x:c r="E41" s="5" t="n">
        <x:f>VLOOKUP(B41,'01_Hero_Base'!$A$5:$N$12,6,FALSE)</x:f>
        <x:v>3</x:v>
      </x:c>
      <x:c r="F41" s="5" t="n">
        <x:f>VLOOKUP(B41,'01_Hero_Base'!$A$5:$N$12,7,FALSE)</x:f>
        <x:v>24</x:v>
      </x:c>
      <x:c r="G41" s="5" t="str">
        <x:f>VLOOKUP(A41,'01_Hero_Base'!$A$5:$N$12,4,FALSE)</x:f>
        <x:v>Physical</x:v>
      </x:c>
      <x:c r="H41" s="5" t="n">
        <x:f>D41</x:f>
        <x:v>3</x:v>
      </x:c>
      <x:c r="I41" s="5" t="n">
        <x:f>MAX(0,E41-'00_Assumptions'!$C$10)</x:f>
        <x:v>2</x:v>
      </x:c>
      <x:c r="J41" s="5" t="n">
        <x:f>H41-I41</x:f>
        <x:v>1</x:v>
      </x:c>
      <x:c r="K41" s="5" t="n">
        <x:f>IF(C41=0,0,H41/C41)</x:f>
        <x:v>1</x:v>
      </x:c>
      <x:c r="L41" s="5" t="n">
        <x:f>IF(H41=0,"∞",ROUNDUP(F41/H41,0))</x:f>
        <x:v>8</x:v>
      </x:c>
      <x:c r="M41" s="5" t="str">
        <x:f>IF(I41&gt;=3,"高",IF(I41&gt;=2,"中","低"))</x:f>
        <x:v>中</x:v>
      </x:c>
      <x:c r="N41" s="29" t="n">
        <x:f>VLOOKUP(B41,'01_Hero_Base'!$A$5:$P$12,15,FALSE)</x:f>
        <x:v>1</x:v>
      </x:c>
      <x:c r="O41" s="30" t="n">
        <x:f>VLOOKUP(B41,'01_Hero_Base'!$A$5:$P$12,16,FALSE)</x:f>
        <x:v>0</x:v>
      </x:c>
      <x:c r="P41" s="30" t="n">
        <x:f>IF(G41="Physical",N41,IF(G41="Magical",O41,0))</x:f>
        <x:v>1</x:v>
      </x:c>
      <x:c r="Q41" s="31" t="n">
        <x:f>MAX(0,H41-P41)</x:f>
        <x:v>2</x:v>
      </x:c>
      <x:c r="R41" s="32" t="n">
        <x:f>IF(Q41=0,"∞",ROUNDUP(F41/Q41,0))</x:f>
        <x:v>12</x:v>
      </x:c>
    </x:row>
    <x:row r="42">
      <x:c r="A42" t="inlineStr">
        <x:is>
          <x:t xml:space="preserve">knight</x:t>
        </x:is>
      </x:c>
      <x:c r="B42" t="inlineStr">
        <x:is>
          <x:t xml:space="preserve">druid</x:t>
        </x:is>
      </x:c>
      <x:c r="C42" s="5" t="n">
        <x:f>VLOOKUP(A42,'01_Hero_Base'!$A$5:$N$12,5,FALSE)</x:f>
        <x:v>3</x:v>
      </x:c>
      <x:c r="D42" s="5" t="n">
        <x:f>VLOOKUP(A42,'01_Hero_Base'!$A$5:$N$12,6,FALSE)</x:f>
        <x:v>3</x:v>
      </x:c>
      <x:c r="E42" s="5" t="n">
        <x:f>VLOOKUP(B42,'01_Hero_Base'!$A$5:$N$12,6,FALSE)</x:f>
        <x:v>1</x:v>
      </x:c>
      <x:c r="F42" s="5" t="n">
        <x:f>VLOOKUP(B42,'01_Hero_Base'!$A$5:$N$12,7,FALSE)</x:f>
        <x:v>16</x:v>
      </x:c>
      <x:c r="G42" s="5" t="str">
        <x:f>VLOOKUP(A42,'01_Hero_Base'!$A$5:$N$12,4,FALSE)</x:f>
        <x:v>Physical</x:v>
      </x:c>
      <x:c r="H42" s="5" t="n">
        <x:f>D42</x:f>
        <x:v>3</x:v>
      </x:c>
      <x:c r="I42" s="5" t="n">
        <x:f>MAX(0,E42-'00_Assumptions'!$C$10)</x:f>
        <x:v>0</x:v>
      </x:c>
      <x:c r="J42" s="5" t="n">
        <x:f>H42-I42</x:f>
        <x:v>3</x:v>
      </x:c>
      <x:c r="K42" s="5" t="n">
        <x:f>IF(C42=0,0,H42/C42)</x:f>
        <x:v>1</x:v>
      </x:c>
      <x:c r="L42" s="5" t="n">
        <x:f>IF(H42=0,"∞",ROUNDUP(F42/H42,0))</x:f>
        <x:v>6</x:v>
      </x:c>
      <x:c r="M42" s="5" t="str">
        <x:f>IF(I42&gt;=3,"高",IF(I42&gt;=2,"中","低"))</x:f>
        <x:v>低</x:v>
      </x:c>
      <x:c r="N42" s="29" t="n">
        <x:f>VLOOKUP(B42,'01_Hero_Base'!$A$5:$P$12,15,FALSE)</x:f>
        <x:v>0</x:v>
      </x:c>
      <x:c r="O42" s="30" t="n">
        <x:f>VLOOKUP(B42,'01_Hero_Base'!$A$5:$P$12,16,FALSE)</x:f>
        <x:v>1</x:v>
      </x:c>
      <x:c r="P42" s="30" t="n">
        <x:f>IF(G42="Physical",N42,IF(G42="Magical",O42,0))</x:f>
        <x:v>0</x:v>
      </x:c>
      <x:c r="Q42" s="31" t="n">
        <x:f>MAX(0,H42-P42)</x:f>
        <x:v>3</x:v>
      </x:c>
      <x:c r="R42" s="32" t="n">
        <x:f>IF(Q42=0,"∞",ROUNDUP(F42/Q42,0))</x:f>
        <x:v>6</x:v>
      </x:c>
    </x:row>
    <x:row r="43">
      <x:c r="A43" t="inlineStr">
        <x:is>
          <x:t xml:space="preserve">knight</x:t>
        </x:is>
      </x:c>
      <x:c r="B43" t="inlineStr">
        <x:is>
          <x:t xml:space="preserve">barbarian</x:t>
        </x:is>
      </x:c>
      <x:c r="C43" s="5" t="n">
        <x:f>VLOOKUP(A43,'01_Hero_Base'!$A$5:$N$12,5,FALSE)</x:f>
        <x:v>3</x:v>
      </x:c>
      <x:c r="D43" s="5" t="n">
        <x:f>VLOOKUP(A43,'01_Hero_Base'!$A$5:$N$12,6,FALSE)</x:f>
        <x:v>3</x:v>
      </x:c>
      <x:c r="E43" s="5" t="n">
        <x:f>VLOOKUP(B43,'01_Hero_Base'!$A$5:$N$12,6,FALSE)</x:f>
        <x:v>4</x:v>
      </x:c>
      <x:c r="F43" s="5" t="n">
        <x:f>VLOOKUP(B43,'01_Hero_Base'!$A$5:$N$12,7,FALSE)</x:f>
        <x:v>18</x:v>
      </x:c>
      <x:c r="G43" s="5" t="str">
        <x:f>VLOOKUP(A43,'01_Hero_Base'!$A$5:$N$12,4,FALSE)</x:f>
        <x:v>Physical</x:v>
      </x:c>
      <x:c r="H43" s="5" t="n">
        <x:f>D43</x:f>
        <x:v>3</x:v>
      </x:c>
      <x:c r="I43" s="5" t="n">
        <x:f>MAX(0,E43-'00_Assumptions'!$C$10)</x:f>
        <x:v>3</x:v>
      </x:c>
      <x:c r="J43" s="5" t="n">
        <x:f>H43-I43</x:f>
        <x:v>0</x:v>
      </x:c>
      <x:c r="K43" s="5" t="n">
        <x:f>IF(C43=0,0,H43/C43)</x:f>
        <x:v>1</x:v>
      </x:c>
      <x:c r="L43" s="5" t="n">
        <x:f>IF(H43=0,"∞",ROUNDUP(F43/H43,0))</x:f>
        <x:v>6</x:v>
      </x:c>
      <x:c r="M43" s="5" t="str">
        <x:f>IF(I43&gt;=3,"高",IF(I43&gt;=2,"中","低"))</x:f>
        <x:v>高</x:v>
      </x:c>
      <x:c r="N43" s="29" t="n">
        <x:f>VLOOKUP(B43,'01_Hero_Base'!$A$5:$P$12,15,FALSE)</x:f>
        <x:v>0</x:v>
      </x:c>
      <x:c r="O43" s="30" t="n">
        <x:f>VLOOKUP(B43,'01_Hero_Base'!$A$5:$P$12,16,FALSE)</x:f>
        <x:v>0</x:v>
      </x:c>
      <x:c r="P43" s="30" t="n">
        <x:f>IF(G43="Physical",N43,IF(G43="Magical",O43,0))</x:f>
        <x:v>0</x:v>
      </x:c>
      <x:c r="Q43" s="31" t="n">
        <x:f>MAX(0,H43-P43)</x:f>
        <x:v>3</x:v>
      </x:c>
      <x:c r="R43" s="32" t="n">
        <x:f>IF(Q43=0,"∞",ROUNDUP(F43/Q43,0))</x:f>
        <x:v>6</x:v>
      </x:c>
    </x:row>
    <x:row r="44">
      <x:c r="A44" t="inlineStr">
        <x:is>
          <x:t xml:space="preserve">knight</x:t>
        </x:is>
      </x:c>
      <x:c r="B44" t="inlineStr">
        <x:is>
          <x:t xml:space="preserve">monster</x:t>
        </x:is>
      </x:c>
      <x:c r="C44" s="5" t="n">
        <x:f>VLOOKUP(A44,'01_Hero_Base'!$A$5:$N$12,5,FALSE)</x:f>
        <x:v>3</x:v>
      </x:c>
      <x:c r="D44" s="5" t="n">
        <x:f>VLOOKUP(A44,'01_Hero_Base'!$A$5:$N$12,6,FALSE)</x:f>
        <x:v>3</x:v>
      </x:c>
      <x:c r="E44" s="5" t="n">
        <x:f>VLOOKUP(B44,'01_Hero_Base'!$A$5:$N$12,6,FALSE)</x:f>
        <x:v>3</x:v>
      </x:c>
      <x:c r="F44" s="5" t="n">
        <x:f>VLOOKUP(B44,'01_Hero_Base'!$A$5:$N$12,7,FALSE)</x:f>
        <x:v>22</x:v>
      </x:c>
      <x:c r="G44" s="5" t="str">
        <x:f>VLOOKUP(A44,'01_Hero_Base'!$A$5:$N$12,4,FALSE)</x:f>
        <x:v>Physical</x:v>
      </x:c>
      <x:c r="H44" s="5" t="n">
        <x:f>D44</x:f>
        <x:v>3</x:v>
      </x:c>
      <x:c r="I44" s="5" t="n">
        <x:f>MAX(0,E44-'00_Assumptions'!$C$10)</x:f>
        <x:v>2</x:v>
      </x:c>
      <x:c r="J44" s="5" t="n">
        <x:f>H44-I44</x:f>
        <x:v>1</x:v>
      </x:c>
      <x:c r="K44" s="5" t="n">
        <x:f>IF(C44=0,0,H44/C44)</x:f>
        <x:v>1</x:v>
      </x:c>
      <x:c r="L44" s="5" t="n">
        <x:f>IF(H44=0,"∞",ROUNDUP(F44/H44,0))</x:f>
        <x:v>8</x:v>
      </x:c>
      <x:c r="M44" s="5" t="str">
        <x:f>IF(I44&gt;=3,"高",IF(I44&gt;=2,"中","低"))</x:f>
        <x:v>中</x:v>
      </x:c>
      <x:c r="N44" s="29" t="n">
        <x:f>VLOOKUP(B44,'01_Hero_Base'!$A$5:$P$12,15,FALSE)</x:f>
        <x:v>1</x:v>
      </x:c>
      <x:c r="O44" s="30" t="n">
        <x:f>VLOOKUP(B44,'01_Hero_Base'!$A$5:$P$12,16,FALSE)</x:f>
        <x:v>0</x:v>
      </x:c>
      <x:c r="P44" s="30" t="n">
        <x:f>IF(G44="Physical",N44,IF(G44="Magical",O44,0))</x:f>
        <x:v>1</x:v>
      </x:c>
      <x:c r="Q44" s="31" t="n">
        <x:f>MAX(0,H44-P44)</x:f>
        <x:v>2</x:v>
      </x:c>
      <x:c r="R44" s="32" t="n">
        <x:f>IF(Q44=0,"∞",ROUNDUP(F44/Q44,0))</x:f>
        <x:v>11</x:v>
      </x:c>
    </x:row>
    <x:row r="45">
      <x:c r="A45" t="inlineStr">
        <x:is>
          <x:t xml:space="preserve">druid</x:t>
        </x:is>
      </x:c>
      <x:c r="B45" t="inlineStr">
        <x:is>
          <x:t xml:space="preserve">peasant</x:t>
        </x:is>
      </x:c>
      <x:c r="C45" s="5" t="n">
        <x:f>VLOOKUP(A45,'01_Hero_Base'!$A$5:$N$12,5,FALSE)</x:f>
        <x:v>1</x:v>
      </x:c>
      <x:c r="D45" s="5" t="n">
        <x:f>VLOOKUP(A45,'01_Hero_Base'!$A$5:$N$12,6,FALSE)</x:f>
        <x:v>1</x:v>
      </x:c>
      <x:c r="E45" s="5" t="n">
        <x:f>VLOOKUP(B45,'01_Hero_Base'!$A$5:$N$12,6,FALSE)</x:f>
        <x:v>2</x:v>
      </x:c>
      <x:c r="F45" s="5" t="n">
        <x:f>VLOOKUP(B45,'01_Hero_Base'!$A$5:$N$12,7,FALSE)</x:f>
        <x:v>16</x:v>
      </x:c>
      <x:c r="G45" s="5" t="str">
        <x:f>VLOOKUP(A45,'01_Hero_Base'!$A$5:$N$12,4,FALSE)</x:f>
        <x:v>Magical</x:v>
      </x:c>
      <x:c r="H45" s="5" t="n">
        <x:f>D45</x:f>
        <x:v>1</x:v>
      </x:c>
      <x:c r="I45" s="5" t="n">
        <x:f>MAX(0,E45-'00_Assumptions'!$C$10)</x:f>
        <x:v>1</x:v>
      </x:c>
      <x:c r="J45" s="5" t="n">
        <x:f>H45-I45</x:f>
        <x:v>0</x:v>
      </x:c>
      <x:c r="K45" s="5" t="n">
        <x:f>IF(C45=0,0,H45/C45)</x:f>
        <x:v>1</x:v>
      </x:c>
      <x:c r="L45" s="5" t="n">
        <x:f>IF(H45=0,"∞",ROUNDUP(F45/H45,0))</x:f>
        <x:v>16</x:v>
      </x:c>
      <x:c r="M45" s="5" t="str">
        <x:f>IF(I45&gt;=3,"高",IF(I45&gt;=2,"中","低"))</x:f>
        <x:v>低</x:v>
      </x:c>
      <x:c r="N45" s="29" t="n">
        <x:f>VLOOKUP(B45,'01_Hero_Base'!$A$5:$P$12,15,FALSE)</x:f>
        <x:v>0</x:v>
      </x:c>
      <x:c r="O45" s="30" t="n">
        <x:f>VLOOKUP(B45,'01_Hero_Base'!$A$5:$P$12,16,FALSE)</x:f>
        <x:v>0</x:v>
      </x:c>
      <x:c r="P45" s="30" t="n">
        <x:f>IF(G45="Physical",N45,IF(G45="Magical",O45,0))</x:f>
        <x:v>0</x:v>
      </x:c>
      <x:c r="Q45" s="31" t="n">
        <x:f>MAX(0,H45-P45)</x:f>
        <x:v>1</x:v>
      </x:c>
      <x:c r="R45" s="32" t="n">
        <x:f>IF(Q45=0,"∞",ROUNDUP(F45/Q45,0))</x:f>
        <x:v>16</x:v>
      </x:c>
    </x:row>
    <x:row r="46">
      <x:c r="A46" t="inlineStr">
        <x:is>
          <x:t xml:space="preserve">druid</x:t>
        </x:is>
      </x:c>
      <x:c r="B46" t="inlineStr">
        <x:is>
          <x:t xml:space="preserve">princess</x:t>
        </x:is>
      </x:c>
      <x:c r="C46" s="5" t="n">
        <x:f>VLOOKUP(A46,'01_Hero_Base'!$A$5:$N$12,5,FALSE)</x:f>
        <x:v>1</x:v>
      </x:c>
      <x:c r="D46" s="5" t="n">
        <x:f>VLOOKUP(A46,'01_Hero_Base'!$A$5:$N$12,6,FALSE)</x:f>
        <x:v>1</x:v>
      </x:c>
      <x:c r="E46" s="5" t="n">
        <x:f>VLOOKUP(B46,'01_Hero_Base'!$A$5:$N$12,6,FALSE)</x:f>
        <x:v>1</x:v>
      </x:c>
      <x:c r="F46" s="5" t="n">
        <x:f>VLOOKUP(B46,'01_Hero_Base'!$A$5:$N$12,7,FALSE)</x:f>
        <x:v>12</x:v>
      </x:c>
      <x:c r="G46" s="5" t="str">
        <x:f>VLOOKUP(A46,'01_Hero_Base'!$A$5:$N$12,4,FALSE)</x:f>
        <x:v>Magical</x:v>
      </x:c>
      <x:c r="H46" s="5" t="n">
        <x:f>D46</x:f>
        <x:v>1</x:v>
      </x:c>
      <x:c r="I46" s="5" t="n">
        <x:f>MAX(0,E46-'00_Assumptions'!$C$10)</x:f>
        <x:v>0</x:v>
      </x:c>
      <x:c r="J46" s="5" t="n">
        <x:f>H46-I46</x:f>
        <x:v>1</x:v>
      </x:c>
      <x:c r="K46" s="5" t="n">
        <x:f>IF(C46=0,0,H46/C46)</x:f>
        <x:v>1</x:v>
      </x:c>
      <x:c r="L46" s="5" t="n">
        <x:f>IF(H46=0,"∞",ROUNDUP(F46/H46,0))</x:f>
        <x:v>12</x:v>
      </x:c>
      <x:c r="M46" s="5" t="str">
        <x:f>IF(I46&gt;=3,"高",IF(I46&gt;=2,"中","低"))</x:f>
        <x:v>低</x:v>
      </x:c>
      <x:c r="N46" s="29" t="n">
        <x:f>VLOOKUP(B46,'01_Hero_Base'!$A$5:$P$12,15,FALSE)</x:f>
        <x:v>0</x:v>
      </x:c>
      <x:c r="O46" s="30" t="n">
        <x:f>VLOOKUP(B46,'01_Hero_Base'!$A$5:$P$12,16,FALSE)</x:f>
        <x:v>0</x:v>
      </x:c>
      <x:c r="P46" s="30" t="n">
        <x:f>IF(G46="Physical",N46,IF(G46="Magical",O46,0))</x:f>
        <x:v>0</x:v>
      </x:c>
      <x:c r="Q46" s="31" t="n">
        <x:f>MAX(0,H46-P46)</x:f>
        <x:v>1</x:v>
      </x:c>
      <x:c r="R46" s="32" t="n">
        <x:f>IF(Q46=0,"∞",ROUNDUP(F46/Q46,0))</x:f>
        <x:v>12</x:v>
      </x:c>
    </x:row>
    <x:row r="47">
      <x:c r="A47" t="inlineStr">
        <x:is>
          <x:t xml:space="preserve">druid</x:t>
        </x:is>
      </x:c>
      <x:c r="B47" t="inlineStr">
        <x:is>
          <x:t xml:space="preserve">mage</x:t>
        </x:is>
      </x:c>
      <x:c r="C47" s="5" t="n">
        <x:f>VLOOKUP(A47,'01_Hero_Base'!$A$5:$N$12,5,FALSE)</x:f>
        <x:v>1</x:v>
      </x:c>
      <x:c r="D47" s="5" t="n">
        <x:f>VLOOKUP(A47,'01_Hero_Base'!$A$5:$N$12,6,FALSE)</x:f>
        <x:v>1</x:v>
      </x:c>
      <x:c r="E47" s="5" t="n">
        <x:f>VLOOKUP(B47,'01_Hero_Base'!$A$5:$N$12,6,FALSE)</x:f>
        <x:v>4</x:v>
      </x:c>
      <x:c r="F47" s="5" t="n">
        <x:f>VLOOKUP(B47,'01_Hero_Base'!$A$5:$N$12,7,FALSE)</x:f>
        <x:v>16</x:v>
      </x:c>
      <x:c r="G47" s="5" t="str">
        <x:f>VLOOKUP(A47,'01_Hero_Base'!$A$5:$N$12,4,FALSE)</x:f>
        <x:v>Magical</x:v>
      </x:c>
      <x:c r="H47" s="5" t="n">
        <x:f>D47</x:f>
        <x:v>1</x:v>
      </x:c>
      <x:c r="I47" s="5" t="n">
        <x:f>MAX(0,E47-'00_Assumptions'!$C$10)</x:f>
        <x:v>3</x:v>
      </x:c>
      <x:c r="J47" s="5" t="n">
        <x:f>H47-I47</x:f>
        <x:v>-2</x:v>
      </x:c>
      <x:c r="K47" s="5" t="n">
        <x:f>IF(C47=0,0,H47/C47)</x:f>
        <x:v>1</x:v>
      </x:c>
      <x:c r="L47" s="5" t="n">
        <x:f>IF(H47=0,"∞",ROUNDUP(F47/H47,0))</x:f>
        <x:v>16</x:v>
      </x:c>
      <x:c r="M47" s="5" t="str">
        <x:f>IF(I47&gt;=3,"高",IF(I47&gt;=2,"中","低"))</x:f>
        <x:v>高</x:v>
      </x:c>
      <x:c r="N47" s="29" t="n">
        <x:f>VLOOKUP(B47,'01_Hero_Base'!$A$5:$P$12,15,FALSE)</x:f>
        <x:v>0</x:v>
      </x:c>
      <x:c r="O47" s="30" t="n">
        <x:f>VLOOKUP(B47,'01_Hero_Base'!$A$5:$P$12,16,FALSE)</x:f>
        <x:v>0</x:v>
      </x:c>
      <x:c r="P47" s="30" t="n">
        <x:f>IF(G47="Physical",N47,IF(G47="Magical",O47,0))</x:f>
        <x:v>0</x:v>
      </x:c>
      <x:c r="Q47" s="31" t="n">
        <x:f>MAX(0,H47-P47)</x:f>
        <x:v>1</x:v>
      </x:c>
      <x:c r="R47" s="32" t="n">
        <x:f>IF(Q47=0,"∞",ROUNDUP(F47/Q47,0))</x:f>
        <x:v>16</x:v>
      </x:c>
    </x:row>
    <x:row r="48">
      <x:c r="A48" t="inlineStr">
        <x:is>
          <x:t xml:space="preserve">druid</x:t>
        </x:is>
      </x:c>
      <x:c r="B48" t="inlineStr">
        <x:is>
          <x:t xml:space="preserve">oracle</x:t>
        </x:is>
      </x:c>
      <x:c r="C48" s="5" t="n">
        <x:f>VLOOKUP(A48,'01_Hero_Base'!$A$5:$N$12,5,FALSE)</x:f>
        <x:v>1</x:v>
      </x:c>
      <x:c r="D48" s="5" t="n">
        <x:f>VLOOKUP(A48,'01_Hero_Base'!$A$5:$N$12,6,FALSE)</x:f>
        <x:v>1</x:v>
      </x:c>
      <x:c r="E48" s="5" t="n">
        <x:f>VLOOKUP(B48,'01_Hero_Base'!$A$5:$N$12,6,FALSE)</x:f>
        <x:v>1</x:v>
      </x:c>
      <x:c r="F48" s="5" t="n">
        <x:f>VLOOKUP(B48,'01_Hero_Base'!$A$5:$N$12,7,FALSE)</x:f>
        <x:v>14</x:v>
      </x:c>
      <x:c r="G48" s="5" t="str">
        <x:f>VLOOKUP(A48,'01_Hero_Base'!$A$5:$N$12,4,FALSE)</x:f>
        <x:v>Magical</x:v>
      </x:c>
      <x:c r="H48" s="5" t="n">
        <x:f>D48</x:f>
        <x:v>1</x:v>
      </x:c>
      <x:c r="I48" s="5" t="n">
        <x:f>MAX(0,E48-'00_Assumptions'!$C$10)</x:f>
        <x:v>0</x:v>
      </x:c>
      <x:c r="J48" s="5" t="n">
        <x:f>H48-I48</x:f>
        <x:v>1</x:v>
      </x:c>
      <x:c r="K48" s="5" t="n">
        <x:f>IF(C48=0,0,H48/C48)</x:f>
        <x:v>1</x:v>
      </x:c>
      <x:c r="L48" s="5" t="n">
        <x:f>IF(H48=0,"∞",ROUNDUP(F48/H48,0))</x:f>
        <x:v>14</x:v>
      </x:c>
      <x:c r="M48" s="5" t="str">
        <x:f>IF(I48&gt;=3,"高",IF(I48&gt;=2,"中","低"))</x:f>
        <x:v>低</x:v>
      </x:c>
      <x:c r="N48" s="29" t="n">
        <x:f>VLOOKUP(B48,'01_Hero_Base'!$A$5:$P$12,15,FALSE)</x:f>
        <x:v>0</x:v>
      </x:c>
      <x:c r="O48" s="30" t="n">
        <x:f>VLOOKUP(B48,'01_Hero_Base'!$A$5:$P$12,16,FALSE)</x:f>
        <x:v>1</x:v>
      </x:c>
      <x:c r="P48" s="30" t="n">
        <x:f>IF(G48="Physical",N48,IF(G48="Magical",O48,0))</x:f>
        <x:v>1</x:v>
      </x:c>
      <x:c r="Q48" s="31" t="n">
        <x:f>MAX(0,H48-P48)</x:f>
        <x:v>0</x:v>
      </x:c>
      <x:c r="R48" s="32" t="str">
        <x:f>IF(Q48=0,"∞",ROUNDUP(F48/Q48,0))</x:f>
        <x:v>∞</x:v>
      </x:c>
    </x:row>
    <x:row r="49">
      <x:c r="A49" t="inlineStr">
        <x:is>
          <x:t xml:space="preserve">druid</x:t>
        </x:is>
      </x:c>
      <x:c r="B49" t="inlineStr">
        <x:is>
          <x:t xml:space="preserve">knight</x:t>
        </x:is>
      </x:c>
      <x:c r="C49" s="5" t="n">
        <x:f>VLOOKUP(A49,'01_Hero_Base'!$A$5:$N$12,5,FALSE)</x:f>
        <x:v>1</x:v>
      </x:c>
      <x:c r="D49" s="5" t="n">
        <x:f>VLOOKUP(A49,'01_Hero_Base'!$A$5:$N$12,6,FALSE)</x:f>
        <x:v>1</x:v>
      </x:c>
      <x:c r="E49" s="5" t="n">
        <x:f>VLOOKUP(B49,'01_Hero_Base'!$A$5:$N$12,6,FALSE)</x:f>
        <x:v>3</x:v>
      </x:c>
      <x:c r="F49" s="5" t="n">
        <x:f>VLOOKUP(B49,'01_Hero_Base'!$A$5:$N$12,7,FALSE)</x:f>
        <x:v>24</x:v>
      </x:c>
      <x:c r="G49" s="5" t="str">
        <x:f>VLOOKUP(A49,'01_Hero_Base'!$A$5:$N$12,4,FALSE)</x:f>
        <x:v>Magical</x:v>
      </x:c>
      <x:c r="H49" s="5" t="n">
        <x:f>D49</x:f>
        <x:v>1</x:v>
      </x:c>
      <x:c r="I49" s="5" t="n">
        <x:f>MAX(0,E49-'00_Assumptions'!$C$10)</x:f>
        <x:v>2</x:v>
      </x:c>
      <x:c r="J49" s="5" t="n">
        <x:f>H49-I49</x:f>
        <x:v>-1</x:v>
      </x:c>
      <x:c r="K49" s="5" t="n">
        <x:f>IF(C49=0,0,H49/C49)</x:f>
        <x:v>1</x:v>
      </x:c>
      <x:c r="L49" s="5" t="n">
        <x:f>IF(H49=0,"∞",ROUNDUP(F49/H49,0))</x:f>
        <x:v>24</x:v>
      </x:c>
      <x:c r="M49" s="5" t="str">
        <x:f>IF(I49&gt;=3,"高",IF(I49&gt;=2,"中","低"))</x:f>
        <x:v>中</x:v>
      </x:c>
      <x:c r="N49" s="29" t="n">
        <x:f>VLOOKUP(B49,'01_Hero_Base'!$A$5:$P$12,15,FALSE)</x:f>
        <x:v>1</x:v>
      </x:c>
      <x:c r="O49" s="30" t="n">
        <x:f>VLOOKUP(B49,'01_Hero_Base'!$A$5:$P$12,16,FALSE)</x:f>
        <x:v>0</x:v>
      </x:c>
      <x:c r="P49" s="30" t="n">
        <x:f>IF(G49="Physical",N49,IF(G49="Magical",O49,0))</x:f>
        <x:v>0</x:v>
      </x:c>
      <x:c r="Q49" s="31" t="n">
        <x:f>MAX(0,H49-P49)</x:f>
        <x:v>1</x:v>
      </x:c>
      <x:c r="R49" s="32" t="n">
        <x:f>IF(Q49=0,"∞",ROUNDUP(F49/Q49,0))</x:f>
        <x:v>24</x:v>
      </x:c>
    </x:row>
    <x:row r="50">
      <x:c r="A50" t="inlineStr">
        <x:is>
          <x:t xml:space="preserve">druid</x:t>
        </x:is>
      </x:c>
      <x:c r="B50" t="inlineStr">
        <x:is>
          <x:t xml:space="preserve">druid</x:t>
        </x:is>
      </x:c>
      <x:c r="C50" s="5" t="n">
        <x:f>VLOOKUP(A50,'01_Hero_Base'!$A$5:$N$12,5,FALSE)</x:f>
        <x:v>1</x:v>
      </x:c>
      <x:c r="D50" s="5" t="n">
        <x:f>VLOOKUP(A50,'01_Hero_Base'!$A$5:$N$12,6,FALSE)</x:f>
        <x:v>1</x:v>
      </x:c>
      <x:c r="E50" s="5" t="n">
        <x:f>VLOOKUP(B50,'01_Hero_Base'!$A$5:$N$12,6,FALSE)</x:f>
        <x:v>1</x:v>
      </x:c>
      <x:c r="F50" s="5" t="n">
        <x:f>VLOOKUP(B50,'01_Hero_Base'!$A$5:$N$12,7,FALSE)</x:f>
        <x:v>16</x:v>
      </x:c>
      <x:c r="G50" s="5" t="str">
        <x:f>VLOOKUP(A50,'01_Hero_Base'!$A$5:$N$12,4,FALSE)</x:f>
        <x:v>Magical</x:v>
      </x:c>
      <x:c r="H50" s="5" t="n">
        <x:f>D50</x:f>
        <x:v>1</x:v>
      </x:c>
      <x:c r="I50" s="5" t="n">
        <x:f>MAX(0,E50-'00_Assumptions'!$C$10)</x:f>
        <x:v>0</x:v>
      </x:c>
      <x:c r="J50" s="5" t="n">
        <x:f>H50-I50</x:f>
        <x:v>1</x:v>
      </x:c>
      <x:c r="K50" s="5" t="n">
        <x:f>IF(C50=0,0,H50/C50)</x:f>
        <x:v>1</x:v>
      </x:c>
      <x:c r="L50" s="5" t="n">
        <x:f>IF(H50=0,"∞",ROUNDUP(F50/H50,0))</x:f>
        <x:v>16</x:v>
      </x:c>
      <x:c r="M50" s="5" t="str">
        <x:f>IF(I50&gt;=3,"高",IF(I50&gt;=2,"中","低"))</x:f>
        <x:v>低</x:v>
      </x:c>
      <x:c r="N50" s="29" t="n">
        <x:f>VLOOKUP(B50,'01_Hero_Base'!$A$5:$P$12,15,FALSE)</x:f>
        <x:v>0</x:v>
      </x:c>
      <x:c r="O50" s="30" t="n">
        <x:f>VLOOKUP(B50,'01_Hero_Base'!$A$5:$P$12,16,FALSE)</x:f>
        <x:v>1</x:v>
      </x:c>
      <x:c r="P50" s="30" t="n">
        <x:f>IF(G50="Physical",N50,IF(G50="Magical",O50,0))</x:f>
        <x:v>1</x:v>
      </x:c>
      <x:c r="Q50" s="31" t="n">
        <x:f>MAX(0,H50-P50)</x:f>
        <x:v>0</x:v>
      </x:c>
      <x:c r="R50" s="32" t="str">
        <x:f>IF(Q50=0,"∞",ROUNDUP(F50/Q50,0))</x:f>
        <x:v>∞</x:v>
      </x:c>
    </x:row>
    <x:row r="51">
      <x:c r="A51" t="inlineStr">
        <x:is>
          <x:t xml:space="preserve">druid</x:t>
        </x:is>
      </x:c>
      <x:c r="B51" t="inlineStr">
        <x:is>
          <x:t xml:space="preserve">barbarian</x:t>
        </x:is>
      </x:c>
      <x:c r="C51" s="5" t="n">
        <x:f>VLOOKUP(A51,'01_Hero_Base'!$A$5:$N$12,5,FALSE)</x:f>
        <x:v>1</x:v>
      </x:c>
      <x:c r="D51" s="5" t="n">
        <x:f>VLOOKUP(A51,'01_Hero_Base'!$A$5:$N$12,6,FALSE)</x:f>
        <x:v>1</x:v>
      </x:c>
      <x:c r="E51" s="5" t="n">
        <x:f>VLOOKUP(B51,'01_Hero_Base'!$A$5:$N$12,6,FALSE)</x:f>
        <x:v>4</x:v>
      </x:c>
      <x:c r="F51" s="5" t="n">
        <x:f>VLOOKUP(B51,'01_Hero_Base'!$A$5:$N$12,7,FALSE)</x:f>
        <x:v>18</x:v>
      </x:c>
      <x:c r="G51" s="5" t="str">
        <x:f>VLOOKUP(A51,'01_Hero_Base'!$A$5:$N$12,4,FALSE)</x:f>
        <x:v>Magical</x:v>
      </x:c>
      <x:c r="H51" s="5" t="n">
        <x:f>D51</x:f>
        <x:v>1</x:v>
      </x:c>
      <x:c r="I51" s="5" t="n">
        <x:f>MAX(0,E51-'00_Assumptions'!$C$10)</x:f>
        <x:v>3</x:v>
      </x:c>
      <x:c r="J51" s="5" t="n">
        <x:f>H51-I51</x:f>
        <x:v>-2</x:v>
      </x:c>
      <x:c r="K51" s="5" t="n">
        <x:f>IF(C51=0,0,H51/C51)</x:f>
        <x:v>1</x:v>
      </x:c>
      <x:c r="L51" s="5" t="n">
        <x:f>IF(H51=0,"∞",ROUNDUP(F51/H51,0))</x:f>
        <x:v>18</x:v>
      </x:c>
      <x:c r="M51" s="5" t="str">
        <x:f>IF(I51&gt;=3,"高",IF(I51&gt;=2,"中","低"))</x:f>
        <x:v>高</x:v>
      </x:c>
      <x:c r="N51" s="29" t="n">
        <x:f>VLOOKUP(B51,'01_Hero_Base'!$A$5:$P$12,15,FALSE)</x:f>
        <x:v>0</x:v>
      </x:c>
      <x:c r="O51" s="30" t="n">
        <x:f>VLOOKUP(B51,'01_Hero_Base'!$A$5:$P$12,16,FALSE)</x:f>
        <x:v>0</x:v>
      </x:c>
      <x:c r="P51" s="30" t="n">
        <x:f>IF(G51="Physical",N51,IF(G51="Magical",O51,0))</x:f>
        <x:v>0</x:v>
      </x:c>
      <x:c r="Q51" s="31" t="n">
        <x:f>MAX(0,H51-P51)</x:f>
        <x:v>1</x:v>
      </x:c>
      <x:c r="R51" s="32" t="n">
        <x:f>IF(Q51=0,"∞",ROUNDUP(F51/Q51,0))</x:f>
        <x:v>18</x:v>
      </x:c>
    </x:row>
    <x:row r="52">
      <x:c r="A52" t="inlineStr">
        <x:is>
          <x:t xml:space="preserve">druid</x:t>
        </x:is>
      </x:c>
      <x:c r="B52" t="inlineStr">
        <x:is>
          <x:t xml:space="preserve">monster</x:t>
        </x:is>
      </x:c>
      <x:c r="C52" s="5" t="n">
        <x:f>VLOOKUP(A52,'01_Hero_Base'!$A$5:$N$12,5,FALSE)</x:f>
        <x:v>1</x:v>
      </x:c>
      <x:c r="D52" s="5" t="n">
        <x:f>VLOOKUP(A52,'01_Hero_Base'!$A$5:$N$12,6,FALSE)</x:f>
        <x:v>1</x:v>
      </x:c>
      <x:c r="E52" s="5" t="n">
        <x:f>VLOOKUP(B52,'01_Hero_Base'!$A$5:$N$12,6,FALSE)</x:f>
        <x:v>3</x:v>
      </x:c>
      <x:c r="F52" s="5" t="n">
        <x:f>VLOOKUP(B52,'01_Hero_Base'!$A$5:$N$12,7,FALSE)</x:f>
        <x:v>22</x:v>
      </x:c>
      <x:c r="G52" s="5" t="str">
        <x:f>VLOOKUP(A52,'01_Hero_Base'!$A$5:$N$12,4,FALSE)</x:f>
        <x:v>Magical</x:v>
      </x:c>
      <x:c r="H52" s="5" t="n">
        <x:f>D52</x:f>
        <x:v>1</x:v>
      </x:c>
      <x:c r="I52" s="5" t="n">
        <x:f>MAX(0,E52-'00_Assumptions'!$C$10)</x:f>
        <x:v>2</x:v>
      </x:c>
      <x:c r="J52" s="5" t="n">
        <x:f>H52-I52</x:f>
        <x:v>-1</x:v>
      </x:c>
      <x:c r="K52" s="5" t="n">
        <x:f>IF(C52=0,0,H52/C52)</x:f>
        <x:v>1</x:v>
      </x:c>
      <x:c r="L52" s="5" t="n">
        <x:f>IF(H52=0,"∞",ROUNDUP(F52/H52,0))</x:f>
        <x:v>22</x:v>
      </x:c>
      <x:c r="M52" s="5" t="str">
        <x:f>IF(I52&gt;=3,"高",IF(I52&gt;=2,"中","低"))</x:f>
        <x:v>中</x:v>
      </x:c>
      <x:c r="N52" s="29" t="n">
        <x:f>VLOOKUP(B52,'01_Hero_Base'!$A$5:$P$12,15,FALSE)</x:f>
        <x:v>1</x:v>
      </x:c>
      <x:c r="O52" s="30" t="n">
        <x:f>VLOOKUP(B52,'01_Hero_Base'!$A$5:$P$12,16,FALSE)</x:f>
        <x:v>0</x:v>
      </x:c>
      <x:c r="P52" s="30" t="n">
        <x:f>IF(G52="Physical",N52,IF(G52="Magical",O52,0))</x:f>
        <x:v>0</x:v>
      </x:c>
      <x:c r="Q52" s="31" t="n">
        <x:f>MAX(0,H52-P52)</x:f>
        <x:v>1</x:v>
      </x:c>
      <x:c r="R52" s="32" t="n">
        <x:f>IF(Q52=0,"∞",ROUNDUP(F52/Q52,0))</x:f>
        <x:v>22</x:v>
      </x:c>
    </x:row>
    <x:row r="53">
      <x:c r="A53" t="inlineStr">
        <x:is>
          <x:t xml:space="preserve">barbarian</x:t>
        </x:is>
      </x:c>
      <x:c r="B53" t="inlineStr">
        <x:is>
          <x:t xml:space="preserve">peasant</x:t>
        </x:is>
      </x:c>
      <x:c r="C53" s="5" t="n">
        <x:f>VLOOKUP(A53,'01_Hero_Base'!$A$5:$N$12,5,FALSE)</x:f>
        <x:v>2</x:v>
      </x:c>
      <x:c r="D53" s="5" t="n">
        <x:f>VLOOKUP(A53,'01_Hero_Base'!$A$5:$N$12,6,FALSE)</x:f>
        <x:v>4</x:v>
      </x:c>
      <x:c r="E53" s="5" t="n">
        <x:f>VLOOKUP(B53,'01_Hero_Base'!$A$5:$N$12,6,FALSE)</x:f>
        <x:v>2</x:v>
      </x:c>
      <x:c r="F53" s="5" t="n">
        <x:f>VLOOKUP(B53,'01_Hero_Base'!$A$5:$N$12,7,FALSE)</x:f>
        <x:v>16</x:v>
      </x:c>
      <x:c r="G53" s="5" t="str">
        <x:f>VLOOKUP(A53,'01_Hero_Base'!$A$5:$N$12,4,FALSE)</x:f>
        <x:v>Physical</x:v>
      </x:c>
      <x:c r="H53" s="5" t="n">
        <x:f>D53</x:f>
        <x:v>4</x:v>
      </x:c>
      <x:c r="I53" s="5" t="n">
        <x:f>MAX(0,E53-'00_Assumptions'!$C$10)</x:f>
        <x:v>1</x:v>
      </x:c>
      <x:c r="J53" s="5" t="n">
        <x:f>H53-I53</x:f>
        <x:v>3</x:v>
      </x:c>
      <x:c r="K53" s="5" t="n">
        <x:f>IF(C53=0,0,H53/C53)</x:f>
        <x:v>2</x:v>
      </x:c>
      <x:c r="L53" s="5" t="n">
        <x:f>IF(H53=0,"∞",ROUNDUP(F53/H53,0))</x:f>
        <x:v>4</x:v>
      </x:c>
      <x:c r="M53" s="5" t="str">
        <x:f>IF(I53&gt;=3,"高",IF(I53&gt;=2,"中","低"))</x:f>
        <x:v>低</x:v>
      </x:c>
      <x:c r="N53" s="29" t="n">
        <x:f>VLOOKUP(B53,'01_Hero_Base'!$A$5:$P$12,15,FALSE)</x:f>
        <x:v>0</x:v>
      </x:c>
      <x:c r="O53" s="30" t="n">
        <x:f>VLOOKUP(B53,'01_Hero_Base'!$A$5:$P$12,16,FALSE)</x:f>
        <x:v>0</x:v>
      </x:c>
      <x:c r="P53" s="30" t="n">
        <x:f>IF(G53="Physical",N53,IF(G53="Magical",O53,0))</x:f>
        <x:v>0</x:v>
      </x:c>
      <x:c r="Q53" s="31" t="n">
        <x:f>MAX(0,H53-P53)</x:f>
        <x:v>4</x:v>
      </x:c>
      <x:c r="R53" s="32" t="n">
        <x:f>IF(Q53=0,"∞",ROUNDUP(F53/Q53,0))</x:f>
        <x:v>4</x:v>
      </x:c>
    </x:row>
    <x:row r="54">
      <x:c r="A54" t="inlineStr">
        <x:is>
          <x:t xml:space="preserve">barbarian</x:t>
        </x:is>
      </x:c>
      <x:c r="B54" t="inlineStr">
        <x:is>
          <x:t xml:space="preserve">princess</x:t>
        </x:is>
      </x:c>
      <x:c r="C54" s="5" t="n">
        <x:f>VLOOKUP(A54,'01_Hero_Base'!$A$5:$N$12,5,FALSE)</x:f>
        <x:v>2</x:v>
      </x:c>
      <x:c r="D54" s="5" t="n">
        <x:f>VLOOKUP(A54,'01_Hero_Base'!$A$5:$N$12,6,FALSE)</x:f>
        <x:v>4</x:v>
      </x:c>
      <x:c r="E54" s="5" t="n">
        <x:f>VLOOKUP(B54,'01_Hero_Base'!$A$5:$N$12,6,FALSE)</x:f>
        <x:v>1</x:v>
      </x:c>
      <x:c r="F54" s="5" t="n">
        <x:f>VLOOKUP(B54,'01_Hero_Base'!$A$5:$N$12,7,FALSE)</x:f>
        <x:v>12</x:v>
      </x:c>
      <x:c r="G54" s="5" t="str">
        <x:f>VLOOKUP(A54,'01_Hero_Base'!$A$5:$N$12,4,FALSE)</x:f>
        <x:v>Physical</x:v>
      </x:c>
      <x:c r="H54" s="5" t="n">
        <x:f>D54</x:f>
        <x:v>4</x:v>
      </x:c>
      <x:c r="I54" s="5" t="n">
        <x:f>MAX(0,E54-'00_Assumptions'!$C$10)</x:f>
        <x:v>0</x:v>
      </x:c>
      <x:c r="J54" s="5" t="n">
        <x:f>H54-I54</x:f>
        <x:v>4</x:v>
      </x:c>
      <x:c r="K54" s="5" t="n">
        <x:f>IF(C54=0,0,H54/C54)</x:f>
        <x:v>2</x:v>
      </x:c>
      <x:c r="L54" s="5" t="n">
        <x:f>IF(H54=0,"∞",ROUNDUP(F54/H54,0))</x:f>
        <x:v>3</x:v>
      </x:c>
      <x:c r="M54" s="5" t="str">
        <x:f>IF(I54&gt;=3,"高",IF(I54&gt;=2,"中","低"))</x:f>
        <x:v>低</x:v>
      </x:c>
      <x:c r="N54" s="29" t="n">
        <x:f>VLOOKUP(B54,'01_Hero_Base'!$A$5:$P$12,15,FALSE)</x:f>
        <x:v>0</x:v>
      </x:c>
      <x:c r="O54" s="30" t="n">
        <x:f>VLOOKUP(B54,'01_Hero_Base'!$A$5:$P$12,16,FALSE)</x:f>
        <x:v>0</x:v>
      </x:c>
      <x:c r="P54" s="30" t="n">
        <x:f>IF(G54="Physical",N54,IF(G54="Magical",O54,0))</x:f>
        <x:v>0</x:v>
      </x:c>
      <x:c r="Q54" s="31" t="n">
        <x:f>MAX(0,H54-P54)</x:f>
        <x:v>4</x:v>
      </x:c>
      <x:c r="R54" s="32" t="n">
        <x:f>IF(Q54=0,"∞",ROUNDUP(F54/Q54,0))</x:f>
        <x:v>3</x:v>
      </x:c>
    </x:row>
    <x:row r="55">
      <x:c r="A55" t="inlineStr">
        <x:is>
          <x:t xml:space="preserve">barbarian</x:t>
        </x:is>
      </x:c>
      <x:c r="B55" t="inlineStr">
        <x:is>
          <x:t xml:space="preserve">mage</x:t>
        </x:is>
      </x:c>
      <x:c r="C55" s="5" t="n">
        <x:f>VLOOKUP(A55,'01_Hero_Base'!$A$5:$N$12,5,FALSE)</x:f>
        <x:v>2</x:v>
      </x:c>
      <x:c r="D55" s="5" t="n">
        <x:f>VLOOKUP(A55,'01_Hero_Base'!$A$5:$N$12,6,FALSE)</x:f>
        <x:v>4</x:v>
      </x:c>
      <x:c r="E55" s="5" t="n">
        <x:f>VLOOKUP(B55,'01_Hero_Base'!$A$5:$N$12,6,FALSE)</x:f>
        <x:v>4</x:v>
      </x:c>
      <x:c r="F55" s="5" t="n">
        <x:f>VLOOKUP(B55,'01_Hero_Base'!$A$5:$N$12,7,FALSE)</x:f>
        <x:v>16</x:v>
      </x:c>
      <x:c r="G55" s="5" t="str">
        <x:f>VLOOKUP(A55,'01_Hero_Base'!$A$5:$N$12,4,FALSE)</x:f>
        <x:v>Physical</x:v>
      </x:c>
      <x:c r="H55" s="5" t="n">
        <x:f>D55</x:f>
        <x:v>4</x:v>
      </x:c>
      <x:c r="I55" s="5" t="n">
        <x:f>MAX(0,E55-'00_Assumptions'!$C$10)</x:f>
        <x:v>3</x:v>
      </x:c>
      <x:c r="J55" s="5" t="n">
        <x:f>H55-I55</x:f>
        <x:v>1</x:v>
      </x:c>
      <x:c r="K55" s="5" t="n">
        <x:f>IF(C55=0,0,H55/C55)</x:f>
        <x:v>2</x:v>
      </x:c>
      <x:c r="L55" s="5" t="n">
        <x:f>IF(H55=0,"∞",ROUNDUP(F55/H55,0))</x:f>
        <x:v>4</x:v>
      </x:c>
      <x:c r="M55" s="5" t="str">
        <x:f>IF(I55&gt;=3,"高",IF(I55&gt;=2,"中","低"))</x:f>
        <x:v>高</x:v>
      </x:c>
      <x:c r="N55" s="29" t="n">
        <x:f>VLOOKUP(B55,'01_Hero_Base'!$A$5:$P$12,15,FALSE)</x:f>
        <x:v>0</x:v>
      </x:c>
      <x:c r="O55" s="30" t="n">
        <x:f>VLOOKUP(B55,'01_Hero_Base'!$A$5:$P$12,16,FALSE)</x:f>
        <x:v>0</x:v>
      </x:c>
      <x:c r="P55" s="30" t="n">
        <x:f>IF(G55="Physical",N55,IF(G55="Magical",O55,0))</x:f>
        <x:v>0</x:v>
      </x:c>
      <x:c r="Q55" s="31" t="n">
        <x:f>MAX(0,H55-P55)</x:f>
        <x:v>4</x:v>
      </x:c>
      <x:c r="R55" s="32" t="n">
        <x:f>IF(Q55=0,"∞",ROUNDUP(F55/Q55,0))</x:f>
        <x:v>4</x:v>
      </x:c>
    </x:row>
    <x:row r="56">
      <x:c r="A56" t="inlineStr">
        <x:is>
          <x:t xml:space="preserve">barbarian</x:t>
        </x:is>
      </x:c>
      <x:c r="B56" t="inlineStr">
        <x:is>
          <x:t xml:space="preserve">oracle</x:t>
        </x:is>
      </x:c>
      <x:c r="C56" s="5" t="n">
        <x:f>VLOOKUP(A56,'01_Hero_Base'!$A$5:$N$12,5,FALSE)</x:f>
        <x:v>2</x:v>
      </x:c>
      <x:c r="D56" s="5" t="n">
        <x:f>VLOOKUP(A56,'01_Hero_Base'!$A$5:$N$12,6,FALSE)</x:f>
        <x:v>4</x:v>
      </x:c>
      <x:c r="E56" s="5" t="n">
        <x:f>VLOOKUP(B56,'01_Hero_Base'!$A$5:$N$12,6,FALSE)</x:f>
        <x:v>1</x:v>
      </x:c>
      <x:c r="F56" s="5" t="n">
        <x:f>VLOOKUP(B56,'01_Hero_Base'!$A$5:$N$12,7,FALSE)</x:f>
        <x:v>14</x:v>
      </x:c>
      <x:c r="G56" s="5" t="str">
        <x:f>VLOOKUP(A56,'01_Hero_Base'!$A$5:$N$12,4,FALSE)</x:f>
        <x:v>Physical</x:v>
      </x:c>
      <x:c r="H56" s="5" t="n">
        <x:f>D56</x:f>
        <x:v>4</x:v>
      </x:c>
      <x:c r="I56" s="5" t="n">
        <x:f>MAX(0,E56-'00_Assumptions'!$C$10)</x:f>
        <x:v>0</x:v>
      </x:c>
      <x:c r="J56" s="5" t="n">
        <x:f>H56-I56</x:f>
        <x:v>4</x:v>
      </x:c>
      <x:c r="K56" s="5" t="n">
        <x:f>IF(C56=0,0,H56/C56)</x:f>
        <x:v>2</x:v>
      </x:c>
      <x:c r="L56" s="5" t="n">
        <x:f>IF(H56=0,"∞",ROUNDUP(F56/H56,0))</x:f>
        <x:v>4</x:v>
      </x:c>
      <x:c r="M56" s="5" t="str">
        <x:f>IF(I56&gt;=3,"高",IF(I56&gt;=2,"中","低"))</x:f>
        <x:v>低</x:v>
      </x:c>
      <x:c r="N56" s="29" t="n">
        <x:f>VLOOKUP(B56,'01_Hero_Base'!$A$5:$P$12,15,FALSE)</x:f>
        <x:v>0</x:v>
      </x:c>
      <x:c r="O56" s="30" t="n">
        <x:f>VLOOKUP(B56,'01_Hero_Base'!$A$5:$P$12,16,FALSE)</x:f>
        <x:v>1</x:v>
      </x:c>
      <x:c r="P56" s="30" t="n">
        <x:f>IF(G56="Physical",N56,IF(G56="Magical",O56,0))</x:f>
        <x:v>0</x:v>
      </x:c>
      <x:c r="Q56" s="31" t="n">
        <x:f>MAX(0,H56-P56)</x:f>
        <x:v>4</x:v>
      </x:c>
      <x:c r="R56" s="32" t="n">
        <x:f>IF(Q56=0,"∞",ROUNDUP(F56/Q56,0))</x:f>
        <x:v>4</x:v>
      </x:c>
    </x:row>
    <x:row r="57">
      <x:c r="A57" t="inlineStr">
        <x:is>
          <x:t xml:space="preserve">barbarian</x:t>
        </x:is>
      </x:c>
      <x:c r="B57" t="inlineStr">
        <x:is>
          <x:t xml:space="preserve">knight</x:t>
        </x:is>
      </x:c>
      <x:c r="C57" s="5" t="n">
        <x:f>VLOOKUP(A57,'01_Hero_Base'!$A$5:$N$12,5,FALSE)</x:f>
        <x:v>2</x:v>
      </x:c>
      <x:c r="D57" s="5" t="n">
        <x:f>VLOOKUP(A57,'01_Hero_Base'!$A$5:$N$12,6,FALSE)</x:f>
        <x:v>4</x:v>
      </x:c>
      <x:c r="E57" s="5" t="n">
        <x:f>VLOOKUP(B57,'01_Hero_Base'!$A$5:$N$12,6,FALSE)</x:f>
        <x:v>3</x:v>
      </x:c>
      <x:c r="F57" s="5" t="n">
        <x:f>VLOOKUP(B57,'01_Hero_Base'!$A$5:$N$12,7,FALSE)</x:f>
        <x:v>24</x:v>
      </x:c>
      <x:c r="G57" s="5" t="str">
        <x:f>VLOOKUP(A57,'01_Hero_Base'!$A$5:$N$12,4,FALSE)</x:f>
        <x:v>Physical</x:v>
      </x:c>
      <x:c r="H57" s="5" t="n">
        <x:f>D57</x:f>
        <x:v>4</x:v>
      </x:c>
      <x:c r="I57" s="5" t="n">
        <x:f>MAX(0,E57-'00_Assumptions'!$C$10)</x:f>
        <x:v>2</x:v>
      </x:c>
      <x:c r="J57" s="5" t="n">
        <x:f>H57-I57</x:f>
        <x:v>2</x:v>
      </x:c>
      <x:c r="K57" s="5" t="n">
        <x:f>IF(C57=0,0,H57/C57)</x:f>
        <x:v>2</x:v>
      </x:c>
      <x:c r="L57" s="5" t="n">
        <x:f>IF(H57=0,"∞",ROUNDUP(F57/H57,0))</x:f>
        <x:v>6</x:v>
      </x:c>
      <x:c r="M57" s="5" t="str">
        <x:f>IF(I57&gt;=3,"高",IF(I57&gt;=2,"中","低"))</x:f>
        <x:v>中</x:v>
      </x:c>
      <x:c r="N57" s="29" t="n">
        <x:f>VLOOKUP(B57,'01_Hero_Base'!$A$5:$P$12,15,FALSE)</x:f>
        <x:v>1</x:v>
      </x:c>
      <x:c r="O57" s="30" t="n">
        <x:f>VLOOKUP(B57,'01_Hero_Base'!$A$5:$P$12,16,FALSE)</x:f>
        <x:v>0</x:v>
      </x:c>
      <x:c r="P57" s="30" t="n">
        <x:f>IF(G57="Physical",N57,IF(G57="Magical",O57,0))</x:f>
        <x:v>1</x:v>
      </x:c>
      <x:c r="Q57" s="31" t="n">
        <x:f>MAX(0,H57-P57)</x:f>
        <x:v>3</x:v>
      </x:c>
      <x:c r="R57" s="32" t="n">
        <x:f>IF(Q57=0,"∞",ROUNDUP(F57/Q57,0))</x:f>
        <x:v>8</x:v>
      </x:c>
    </x:row>
    <x:row r="58">
      <x:c r="A58" t="inlineStr">
        <x:is>
          <x:t xml:space="preserve">barbarian</x:t>
        </x:is>
      </x:c>
      <x:c r="B58" t="inlineStr">
        <x:is>
          <x:t xml:space="preserve">druid</x:t>
        </x:is>
      </x:c>
      <x:c r="C58" s="5" t="n">
        <x:f>VLOOKUP(A58,'01_Hero_Base'!$A$5:$N$12,5,FALSE)</x:f>
        <x:v>2</x:v>
      </x:c>
      <x:c r="D58" s="5" t="n">
        <x:f>VLOOKUP(A58,'01_Hero_Base'!$A$5:$N$12,6,FALSE)</x:f>
        <x:v>4</x:v>
      </x:c>
      <x:c r="E58" s="5" t="n">
        <x:f>VLOOKUP(B58,'01_Hero_Base'!$A$5:$N$12,6,FALSE)</x:f>
        <x:v>1</x:v>
      </x:c>
      <x:c r="F58" s="5" t="n">
        <x:f>VLOOKUP(B58,'01_Hero_Base'!$A$5:$N$12,7,FALSE)</x:f>
        <x:v>16</x:v>
      </x:c>
      <x:c r="G58" s="5" t="str">
        <x:f>VLOOKUP(A58,'01_Hero_Base'!$A$5:$N$12,4,FALSE)</x:f>
        <x:v>Physical</x:v>
      </x:c>
      <x:c r="H58" s="5" t="n">
        <x:f>D58</x:f>
        <x:v>4</x:v>
      </x:c>
      <x:c r="I58" s="5" t="n">
        <x:f>MAX(0,E58-'00_Assumptions'!$C$10)</x:f>
        <x:v>0</x:v>
      </x:c>
      <x:c r="J58" s="5" t="n">
        <x:f>H58-I58</x:f>
        <x:v>4</x:v>
      </x:c>
      <x:c r="K58" s="5" t="n">
        <x:f>IF(C58=0,0,H58/C58)</x:f>
        <x:v>2</x:v>
      </x:c>
      <x:c r="L58" s="5" t="n">
        <x:f>IF(H58=0,"∞",ROUNDUP(F58/H58,0))</x:f>
        <x:v>4</x:v>
      </x:c>
      <x:c r="M58" s="5" t="str">
        <x:f>IF(I58&gt;=3,"高",IF(I58&gt;=2,"中","低"))</x:f>
        <x:v>低</x:v>
      </x:c>
      <x:c r="N58" s="29" t="n">
        <x:f>VLOOKUP(B58,'01_Hero_Base'!$A$5:$P$12,15,FALSE)</x:f>
        <x:v>0</x:v>
      </x:c>
      <x:c r="O58" s="30" t="n">
        <x:f>VLOOKUP(B58,'01_Hero_Base'!$A$5:$P$12,16,FALSE)</x:f>
        <x:v>1</x:v>
      </x:c>
      <x:c r="P58" s="30" t="n">
        <x:f>IF(G58="Physical",N58,IF(G58="Magical",O58,0))</x:f>
        <x:v>0</x:v>
      </x:c>
      <x:c r="Q58" s="31" t="n">
        <x:f>MAX(0,H58-P58)</x:f>
        <x:v>4</x:v>
      </x:c>
      <x:c r="R58" s="32" t="n">
        <x:f>IF(Q58=0,"∞",ROUNDUP(F58/Q58,0))</x:f>
        <x:v>4</x:v>
      </x:c>
    </x:row>
    <x:row r="59">
      <x:c r="A59" t="inlineStr">
        <x:is>
          <x:t xml:space="preserve">barbarian</x:t>
        </x:is>
      </x:c>
      <x:c r="B59" t="inlineStr">
        <x:is>
          <x:t xml:space="preserve">barbarian</x:t>
        </x:is>
      </x:c>
      <x:c r="C59" s="5" t="n">
        <x:f>VLOOKUP(A59,'01_Hero_Base'!$A$5:$N$12,5,FALSE)</x:f>
        <x:v>2</x:v>
      </x:c>
      <x:c r="D59" s="5" t="n">
        <x:f>VLOOKUP(A59,'01_Hero_Base'!$A$5:$N$12,6,FALSE)</x:f>
        <x:v>4</x:v>
      </x:c>
      <x:c r="E59" s="5" t="n">
        <x:f>VLOOKUP(B59,'01_Hero_Base'!$A$5:$N$12,6,FALSE)</x:f>
        <x:v>4</x:v>
      </x:c>
      <x:c r="F59" s="5" t="n">
        <x:f>VLOOKUP(B59,'01_Hero_Base'!$A$5:$N$12,7,FALSE)</x:f>
        <x:v>18</x:v>
      </x:c>
      <x:c r="G59" s="5" t="str">
        <x:f>VLOOKUP(A59,'01_Hero_Base'!$A$5:$N$12,4,FALSE)</x:f>
        <x:v>Physical</x:v>
      </x:c>
      <x:c r="H59" s="5" t="n">
        <x:f>D59</x:f>
        <x:v>4</x:v>
      </x:c>
      <x:c r="I59" s="5" t="n">
        <x:f>MAX(0,E59-'00_Assumptions'!$C$10)</x:f>
        <x:v>3</x:v>
      </x:c>
      <x:c r="J59" s="5" t="n">
        <x:f>H59-I59</x:f>
        <x:v>1</x:v>
      </x:c>
      <x:c r="K59" s="5" t="n">
        <x:f>IF(C59=0,0,H59/C59)</x:f>
        <x:v>2</x:v>
      </x:c>
      <x:c r="L59" s="5" t="n">
        <x:f>IF(H59=0,"∞",ROUNDUP(F59/H59,0))</x:f>
        <x:v>5</x:v>
      </x:c>
      <x:c r="M59" s="5" t="str">
        <x:f>IF(I59&gt;=3,"高",IF(I59&gt;=2,"中","低"))</x:f>
        <x:v>高</x:v>
      </x:c>
      <x:c r="N59" s="29" t="n">
        <x:f>VLOOKUP(B59,'01_Hero_Base'!$A$5:$P$12,15,FALSE)</x:f>
        <x:v>0</x:v>
      </x:c>
      <x:c r="O59" s="30" t="n">
        <x:f>VLOOKUP(B59,'01_Hero_Base'!$A$5:$P$12,16,FALSE)</x:f>
        <x:v>0</x:v>
      </x:c>
      <x:c r="P59" s="30" t="n">
        <x:f>IF(G59="Physical",N59,IF(G59="Magical",O59,0))</x:f>
        <x:v>0</x:v>
      </x:c>
      <x:c r="Q59" s="31" t="n">
        <x:f>MAX(0,H59-P59)</x:f>
        <x:v>4</x:v>
      </x:c>
      <x:c r="R59" s="32" t="n">
        <x:f>IF(Q59=0,"∞",ROUNDUP(F59/Q59,0))</x:f>
        <x:v>5</x:v>
      </x:c>
    </x:row>
    <x:row r="60">
      <x:c r="A60" t="inlineStr">
        <x:is>
          <x:t xml:space="preserve">barbarian</x:t>
        </x:is>
      </x:c>
      <x:c r="B60" t="inlineStr">
        <x:is>
          <x:t xml:space="preserve">monster</x:t>
        </x:is>
      </x:c>
      <x:c r="C60" s="5" t="n">
        <x:f>VLOOKUP(A60,'01_Hero_Base'!$A$5:$N$12,5,FALSE)</x:f>
        <x:v>2</x:v>
      </x:c>
      <x:c r="D60" s="5" t="n">
        <x:f>VLOOKUP(A60,'01_Hero_Base'!$A$5:$N$12,6,FALSE)</x:f>
        <x:v>4</x:v>
      </x:c>
      <x:c r="E60" s="5" t="n">
        <x:f>VLOOKUP(B60,'01_Hero_Base'!$A$5:$N$12,6,FALSE)</x:f>
        <x:v>3</x:v>
      </x:c>
      <x:c r="F60" s="5" t="n">
        <x:f>VLOOKUP(B60,'01_Hero_Base'!$A$5:$N$12,7,FALSE)</x:f>
        <x:v>22</x:v>
      </x:c>
      <x:c r="G60" s="5" t="str">
        <x:f>VLOOKUP(A60,'01_Hero_Base'!$A$5:$N$12,4,FALSE)</x:f>
        <x:v>Physical</x:v>
      </x:c>
      <x:c r="H60" s="5" t="n">
        <x:f>D60</x:f>
        <x:v>4</x:v>
      </x:c>
      <x:c r="I60" s="5" t="n">
        <x:f>MAX(0,E60-'00_Assumptions'!$C$10)</x:f>
        <x:v>2</x:v>
      </x:c>
      <x:c r="J60" s="5" t="n">
        <x:f>H60-I60</x:f>
        <x:v>2</x:v>
      </x:c>
      <x:c r="K60" s="5" t="n">
        <x:f>IF(C60=0,0,H60/C60)</x:f>
        <x:v>2</x:v>
      </x:c>
      <x:c r="L60" s="5" t="n">
        <x:f>IF(H60=0,"∞",ROUNDUP(F60/H60,0))</x:f>
        <x:v>6</x:v>
      </x:c>
      <x:c r="M60" s="5" t="str">
        <x:f>IF(I60&gt;=3,"高",IF(I60&gt;=2,"中","低"))</x:f>
        <x:v>中</x:v>
      </x:c>
      <x:c r="N60" s="29" t="n">
        <x:f>VLOOKUP(B60,'01_Hero_Base'!$A$5:$P$12,15,FALSE)</x:f>
        <x:v>1</x:v>
      </x:c>
      <x:c r="O60" s="30" t="n">
        <x:f>VLOOKUP(B60,'01_Hero_Base'!$A$5:$P$12,16,FALSE)</x:f>
        <x:v>0</x:v>
      </x:c>
      <x:c r="P60" s="30" t="n">
        <x:f>IF(G60="Physical",N60,IF(G60="Magical",O60,0))</x:f>
        <x:v>1</x:v>
      </x:c>
      <x:c r="Q60" s="31" t="n">
        <x:f>MAX(0,H60-P60)</x:f>
        <x:v>3</x:v>
      </x:c>
      <x:c r="R60" s="32" t="n">
        <x:f>IF(Q60=0,"∞",ROUNDUP(F60/Q60,0))</x:f>
        <x:v>8</x:v>
      </x:c>
    </x:row>
    <x:row r="61">
      <x:c r="A61" t="inlineStr">
        <x:is>
          <x:t xml:space="preserve">monster</x:t>
        </x:is>
      </x:c>
      <x:c r="B61" t="inlineStr">
        <x:is>
          <x:t xml:space="preserve">peasant</x:t>
        </x:is>
      </x:c>
      <x:c r="C61" s="5" t="n">
        <x:f>VLOOKUP(A61,'01_Hero_Base'!$A$5:$N$12,5,FALSE)</x:f>
        <x:v>3</x:v>
      </x:c>
      <x:c r="D61" s="5" t="n">
        <x:f>VLOOKUP(A61,'01_Hero_Base'!$A$5:$N$12,6,FALSE)</x:f>
        <x:v>3</x:v>
      </x:c>
      <x:c r="E61" s="5" t="n">
        <x:f>VLOOKUP(B61,'01_Hero_Base'!$A$5:$N$12,6,FALSE)</x:f>
        <x:v>2</x:v>
      </x:c>
      <x:c r="F61" s="5" t="n">
        <x:f>VLOOKUP(B61,'01_Hero_Base'!$A$5:$N$12,7,FALSE)</x:f>
        <x:v>16</x:v>
      </x:c>
      <x:c r="G61" s="5" t="str">
        <x:f>VLOOKUP(A61,'01_Hero_Base'!$A$5:$N$12,4,FALSE)</x:f>
        <x:v>Physical</x:v>
      </x:c>
      <x:c r="H61" s="5" t="n">
        <x:f>D61</x:f>
        <x:v>3</x:v>
      </x:c>
      <x:c r="I61" s="5" t="n">
        <x:f>MAX(0,E61-'00_Assumptions'!$C$10)</x:f>
        <x:v>1</x:v>
      </x:c>
      <x:c r="J61" s="5" t="n">
        <x:f>H61-I61</x:f>
        <x:v>2</x:v>
      </x:c>
      <x:c r="K61" s="5" t="n">
        <x:f>IF(C61=0,0,H61/C61)</x:f>
        <x:v>1</x:v>
      </x:c>
      <x:c r="L61" s="5" t="n">
        <x:f>IF(H61=0,"∞",ROUNDUP(F61/H61,0))</x:f>
        <x:v>6</x:v>
      </x:c>
      <x:c r="M61" s="5" t="str">
        <x:f>IF(I61&gt;=3,"高",IF(I61&gt;=2,"中","低"))</x:f>
        <x:v>低</x:v>
      </x:c>
      <x:c r="N61" s="29" t="n">
        <x:f>VLOOKUP(B61,'01_Hero_Base'!$A$5:$P$12,15,FALSE)</x:f>
        <x:v>0</x:v>
      </x:c>
      <x:c r="O61" s="30" t="n">
        <x:f>VLOOKUP(B61,'01_Hero_Base'!$A$5:$P$12,16,FALSE)</x:f>
        <x:v>0</x:v>
      </x:c>
      <x:c r="P61" s="30" t="n">
        <x:f>IF(G61="Physical",N61,IF(G61="Magical",O61,0))</x:f>
        <x:v>0</x:v>
      </x:c>
      <x:c r="Q61" s="31" t="n">
        <x:f>MAX(0,H61-P61)</x:f>
        <x:v>3</x:v>
      </x:c>
      <x:c r="R61" s="32" t="n">
        <x:f>IF(Q61=0,"∞",ROUNDUP(F61/Q61,0))</x:f>
        <x:v>6</x:v>
      </x:c>
    </x:row>
    <x:row r="62">
      <x:c r="A62" t="inlineStr">
        <x:is>
          <x:t xml:space="preserve">monster</x:t>
        </x:is>
      </x:c>
      <x:c r="B62" t="inlineStr">
        <x:is>
          <x:t xml:space="preserve">princess</x:t>
        </x:is>
      </x:c>
      <x:c r="C62" s="5" t="n">
        <x:f>VLOOKUP(A62,'01_Hero_Base'!$A$5:$N$12,5,FALSE)</x:f>
        <x:v>3</x:v>
      </x:c>
      <x:c r="D62" s="5" t="n">
        <x:f>VLOOKUP(A62,'01_Hero_Base'!$A$5:$N$12,6,FALSE)</x:f>
        <x:v>3</x:v>
      </x:c>
      <x:c r="E62" s="5" t="n">
        <x:f>VLOOKUP(B62,'01_Hero_Base'!$A$5:$N$12,6,FALSE)</x:f>
        <x:v>1</x:v>
      </x:c>
      <x:c r="F62" s="5" t="n">
        <x:f>VLOOKUP(B62,'01_Hero_Base'!$A$5:$N$12,7,FALSE)</x:f>
        <x:v>12</x:v>
      </x:c>
      <x:c r="G62" s="5" t="str">
        <x:f>VLOOKUP(A62,'01_Hero_Base'!$A$5:$N$12,4,FALSE)</x:f>
        <x:v>Physical</x:v>
      </x:c>
      <x:c r="H62" s="5" t="n">
        <x:f>D62</x:f>
        <x:v>3</x:v>
      </x:c>
      <x:c r="I62" s="5" t="n">
        <x:f>MAX(0,E62-'00_Assumptions'!$C$10)</x:f>
        <x:v>0</x:v>
      </x:c>
      <x:c r="J62" s="5" t="n">
        <x:f>H62-I62</x:f>
        <x:v>3</x:v>
      </x:c>
      <x:c r="K62" s="5" t="n">
        <x:f>IF(C62=0,0,H62/C62)</x:f>
        <x:v>1</x:v>
      </x:c>
      <x:c r="L62" s="5" t="n">
        <x:f>IF(H62=0,"∞",ROUNDUP(F62/H62,0))</x:f>
        <x:v>4</x:v>
      </x:c>
      <x:c r="M62" s="5" t="str">
        <x:f>IF(I62&gt;=3,"高",IF(I62&gt;=2,"中","低"))</x:f>
        <x:v>低</x:v>
      </x:c>
      <x:c r="N62" s="29" t="n">
        <x:f>VLOOKUP(B62,'01_Hero_Base'!$A$5:$P$12,15,FALSE)</x:f>
        <x:v>0</x:v>
      </x:c>
      <x:c r="O62" s="30" t="n">
        <x:f>VLOOKUP(B62,'01_Hero_Base'!$A$5:$P$12,16,FALSE)</x:f>
        <x:v>0</x:v>
      </x:c>
      <x:c r="P62" s="30" t="n">
        <x:f>IF(G62="Physical",N62,IF(G62="Magical",O62,0))</x:f>
        <x:v>0</x:v>
      </x:c>
      <x:c r="Q62" s="31" t="n">
        <x:f>MAX(0,H62-P62)</x:f>
        <x:v>3</x:v>
      </x:c>
      <x:c r="R62" s="32" t="n">
        <x:f>IF(Q62=0,"∞",ROUNDUP(F62/Q62,0))</x:f>
        <x:v>4</x:v>
      </x:c>
    </x:row>
    <x:row r="63">
      <x:c r="A63" t="inlineStr">
        <x:is>
          <x:t xml:space="preserve">monster</x:t>
        </x:is>
      </x:c>
      <x:c r="B63" t="inlineStr">
        <x:is>
          <x:t xml:space="preserve">mage</x:t>
        </x:is>
      </x:c>
      <x:c r="C63" s="5" t="n">
        <x:f>VLOOKUP(A63,'01_Hero_Base'!$A$5:$N$12,5,FALSE)</x:f>
        <x:v>3</x:v>
      </x:c>
      <x:c r="D63" s="5" t="n">
        <x:f>VLOOKUP(A63,'01_Hero_Base'!$A$5:$N$12,6,FALSE)</x:f>
        <x:v>3</x:v>
      </x:c>
      <x:c r="E63" s="5" t="n">
        <x:f>VLOOKUP(B63,'01_Hero_Base'!$A$5:$N$12,6,FALSE)</x:f>
        <x:v>4</x:v>
      </x:c>
      <x:c r="F63" s="5" t="n">
        <x:f>VLOOKUP(B63,'01_Hero_Base'!$A$5:$N$12,7,FALSE)</x:f>
        <x:v>16</x:v>
      </x:c>
      <x:c r="G63" s="5" t="str">
        <x:f>VLOOKUP(A63,'01_Hero_Base'!$A$5:$N$12,4,FALSE)</x:f>
        <x:v>Physical</x:v>
      </x:c>
      <x:c r="H63" s="5" t="n">
        <x:f>D63</x:f>
        <x:v>3</x:v>
      </x:c>
      <x:c r="I63" s="5" t="n">
        <x:f>MAX(0,E63-'00_Assumptions'!$C$10)</x:f>
        <x:v>3</x:v>
      </x:c>
      <x:c r="J63" s="5" t="n">
        <x:f>H63-I63</x:f>
        <x:v>0</x:v>
      </x:c>
      <x:c r="K63" s="5" t="n">
        <x:f>IF(C63=0,0,H63/C63)</x:f>
        <x:v>1</x:v>
      </x:c>
      <x:c r="L63" s="5" t="n">
        <x:f>IF(H63=0,"∞",ROUNDUP(F63/H63,0))</x:f>
        <x:v>6</x:v>
      </x:c>
      <x:c r="M63" s="5" t="str">
        <x:f>IF(I63&gt;=3,"高",IF(I63&gt;=2,"中","低"))</x:f>
        <x:v>高</x:v>
      </x:c>
      <x:c r="N63" s="29" t="n">
        <x:f>VLOOKUP(B63,'01_Hero_Base'!$A$5:$P$12,15,FALSE)</x:f>
        <x:v>0</x:v>
      </x:c>
      <x:c r="O63" s="30" t="n">
        <x:f>VLOOKUP(B63,'01_Hero_Base'!$A$5:$P$12,16,FALSE)</x:f>
        <x:v>0</x:v>
      </x:c>
      <x:c r="P63" s="30" t="n">
        <x:f>IF(G63="Physical",N63,IF(G63="Magical",O63,0))</x:f>
        <x:v>0</x:v>
      </x:c>
      <x:c r="Q63" s="31" t="n">
        <x:f>MAX(0,H63-P63)</x:f>
        <x:v>3</x:v>
      </x:c>
      <x:c r="R63" s="32" t="n">
        <x:f>IF(Q63=0,"∞",ROUNDUP(F63/Q63,0))</x:f>
        <x:v>6</x:v>
      </x:c>
    </x:row>
    <x:row r="64">
      <x:c r="A64" t="inlineStr">
        <x:is>
          <x:t xml:space="preserve">monster</x:t>
        </x:is>
      </x:c>
      <x:c r="B64" t="inlineStr">
        <x:is>
          <x:t xml:space="preserve">oracle</x:t>
        </x:is>
      </x:c>
      <x:c r="C64" s="5" t="n">
        <x:f>VLOOKUP(A64,'01_Hero_Base'!$A$5:$N$12,5,FALSE)</x:f>
        <x:v>3</x:v>
      </x:c>
      <x:c r="D64" s="5" t="n">
        <x:f>VLOOKUP(A64,'01_Hero_Base'!$A$5:$N$12,6,FALSE)</x:f>
        <x:v>3</x:v>
      </x:c>
      <x:c r="E64" s="5" t="n">
        <x:f>VLOOKUP(B64,'01_Hero_Base'!$A$5:$N$12,6,FALSE)</x:f>
        <x:v>1</x:v>
      </x:c>
      <x:c r="F64" s="5" t="n">
        <x:f>VLOOKUP(B64,'01_Hero_Base'!$A$5:$N$12,7,FALSE)</x:f>
        <x:v>14</x:v>
      </x:c>
      <x:c r="G64" s="5" t="str">
        <x:f>VLOOKUP(A64,'01_Hero_Base'!$A$5:$N$12,4,FALSE)</x:f>
        <x:v>Physical</x:v>
      </x:c>
      <x:c r="H64" s="5" t="n">
        <x:f>D64</x:f>
        <x:v>3</x:v>
      </x:c>
      <x:c r="I64" s="5" t="n">
        <x:f>MAX(0,E64-'00_Assumptions'!$C$10)</x:f>
        <x:v>0</x:v>
      </x:c>
      <x:c r="J64" s="5" t="n">
        <x:f>H64-I64</x:f>
        <x:v>3</x:v>
      </x:c>
      <x:c r="K64" s="5" t="n">
        <x:f>IF(C64=0,0,H64/C64)</x:f>
        <x:v>1</x:v>
      </x:c>
      <x:c r="L64" s="5" t="n">
        <x:f>IF(H64=0,"∞",ROUNDUP(F64/H64,0))</x:f>
        <x:v>5</x:v>
      </x:c>
      <x:c r="M64" s="5" t="str">
        <x:f>IF(I64&gt;=3,"高",IF(I64&gt;=2,"中","低"))</x:f>
        <x:v>低</x:v>
      </x:c>
      <x:c r="N64" s="29" t="n">
        <x:f>VLOOKUP(B64,'01_Hero_Base'!$A$5:$P$12,15,FALSE)</x:f>
        <x:v>0</x:v>
      </x:c>
      <x:c r="O64" s="30" t="n">
        <x:f>VLOOKUP(B64,'01_Hero_Base'!$A$5:$P$12,16,FALSE)</x:f>
        <x:v>1</x:v>
      </x:c>
      <x:c r="P64" s="30" t="n">
        <x:f>IF(G64="Physical",N64,IF(G64="Magical",O64,0))</x:f>
        <x:v>0</x:v>
      </x:c>
      <x:c r="Q64" s="31" t="n">
        <x:f>MAX(0,H64-P64)</x:f>
        <x:v>3</x:v>
      </x:c>
      <x:c r="R64" s="32" t="n">
        <x:f>IF(Q64=0,"∞",ROUNDUP(F64/Q64,0))</x:f>
        <x:v>5</x:v>
      </x:c>
    </x:row>
    <x:row r="65">
      <x:c r="A65" t="inlineStr">
        <x:is>
          <x:t xml:space="preserve">monster</x:t>
        </x:is>
      </x:c>
      <x:c r="B65" t="inlineStr">
        <x:is>
          <x:t xml:space="preserve">knight</x:t>
        </x:is>
      </x:c>
      <x:c r="C65" s="5" t="n">
        <x:f>VLOOKUP(A65,'01_Hero_Base'!$A$5:$N$12,5,FALSE)</x:f>
        <x:v>3</x:v>
      </x:c>
      <x:c r="D65" s="5" t="n">
        <x:f>VLOOKUP(A65,'01_Hero_Base'!$A$5:$N$12,6,FALSE)</x:f>
        <x:v>3</x:v>
      </x:c>
      <x:c r="E65" s="5" t="n">
        <x:f>VLOOKUP(B65,'01_Hero_Base'!$A$5:$N$12,6,FALSE)</x:f>
        <x:v>3</x:v>
      </x:c>
      <x:c r="F65" s="5" t="n">
        <x:f>VLOOKUP(B65,'01_Hero_Base'!$A$5:$N$12,7,FALSE)</x:f>
        <x:v>24</x:v>
      </x:c>
      <x:c r="G65" s="5" t="str">
        <x:f>VLOOKUP(A65,'01_Hero_Base'!$A$5:$N$12,4,FALSE)</x:f>
        <x:v>Physical</x:v>
      </x:c>
      <x:c r="H65" s="5" t="n">
        <x:f>D65</x:f>
        <x:v>3</x:v>
      </x:c>
      <x:c r="I65" s="5" t="n">
        <x:f>MAX(0,E65-'00_Assumptions'!$C$10)</x:f>
        <x:v>2</x:v>
      </x:c>
      <x:c r="J65" s="5" t="n">
        <x:f>H65-I65</x:f>
        <x:v>1</x:v>
      </x:c>
      <x:c r="K65" s="5" t="n">
        <x:f>IF(C65=0,0,H65/C65)</x:f>
        <x:v>1</x:v>
      </x:c>
      <x:c r="L65" s="5" t="n">
        <x:f>IF(H65=0,"∞",ROUNDUP(F65/H65,0))</x:f>
        <x:v>8</x:v>
      </x:c>
      <x:c r="M65" s="5" t="str">
        <x:f>IF(I65&gt;=3,"高",IF(I65&gt;=2,"中","低"))</x:f>
        <x:v>中</x:v>
      </x:c>
      <x:c r="N65" s="29" t="n">
        <x:f>VLOOKUP(B65,'01_Hero_Base'!$A$5:$P$12,15,FALSE)</x:f>
        <x:v>1</x:v>
      </x:c>
      <x:c r="O65" s="30" t="n">
        <x:f>VLOOKUP(B65,'01_Hero_Base'!$A$5:$P$12,16,FALSE)</x:f>
        <x:v>0</x:v>
      </x:c>
      <x:c r="P65" s="30" t="n">
        <x:f>IF(G65="Physical",N65,IF(G65="Magical",O65,0))</x:f>
        <x:v>1</x:v>
      </x:c>
      <x:c r="Q65" s="31" t="n">
        <x:f>MAX(0,H65-P65)</x:f>
        <x:v>2</x:v>
      </x:c>
      <x:c r="R65" s="32" t="n">
        <x:f>IF(Q65=0,"∞",ROUNDUP(F65/Q65,0))</x:f>
        <x:v>12</x:v>
      </x:c>
    </x:row>
    <x:row r="66">
      <x:c r="A66" t="inlineStr">
        <x:is>
          <x:t xml:space="preserve">monster</x:t>
        </x:is>
      </x:c>
      <x:c r="B66" t="inlineStr">
        <x:is>
          <x:t xml:space="preserve">druid</x:t>
        </x:is>
      </x:c>
      <x:c r="C66" s="5" t="n">
        <x:f>VLOOKUP(A66,'01_Hero_Base'!$A$5:$N$12,5,FALSE)</x:f>
        <x:v>3</x:v>
      </x:c>
      <x:c r="D66" s="5" t="n">
        <x:f>VLOOKUP(A66,'01_Hero_Base'!$A$5:$N$12,6,FALSE)</x:f>
        <x:v>3</x:v>
      </x:c>
      <x:c r="E66" s="5" t="n">
        <x:f>VLOOKUP(B66,'01_Hero_Base'!$A$5:$N$12,6,FALSE)</x:f>
        <x:v>1</x:v>
      </x:c>
      <x:c r="F66" s="5" t="n">
        <x:f>VLOOKUP(B66,'01_Hero_Base'!$A$5:$N$12,7,FALSE)</x:f>
        <x:v>16</x:v>
      </x:c>
      <x:c r="G66" s="5" t="str">
        <x:f>VLOOKUP(A66,'01_Hero_Base'!$A$5:$N$12,4,FALSE)</x:f>
        <x:v>Physical</x:v>
      </x:c>
      <x:c r="H66" s="5" t="n">
        <x:f>D66</x:f>
        <x:v>3</x:v>
      </x:c>
      <x:c r="I66" s="5" t="n">
        <x:f>MAX(0,E66-'00_Assumptions'!$C$10)</x:f>
        <x:v>0</x:v>
      </x:c>
      <x:c r="J66" s="5" t="n">
        <x:f>H66-I66</x:f>
        <x:v>3</x:v>
      </x:c>
      <x:c r="K66" s="5" t="n">
        <x:f>IF(C66=0,0,H66/C66)</x:f>
        <x:v>1</x:v>
      </x:c>
      <x:c r="L66" s="5" t="n">
        <x:f>IF(H66=0,"∞",ROUNDUP(F66/H66,0))</x:f>
        <x:v>6</x:v>
      </x:c>
      <x:c r="M66" s="5" t="str">
        <x:f>IF(I66&gt;=3,"高",IF(I66&gt;=2,"中","低"))</x:f>
        <x:v>低</x:v>
      </x:c>
      <x:c r="N66" s="29" t="n">
        <x:f>VLOOKUP(B66,'01_Hero_Base'!$A$5:$P$12,15,FALSE)</x:f>
        <x:v>0</x:v>
      </x:c>
      <x:c r="O66" s="30" t="n">
        <x:f>VLOOKUP(B66,'01_Hero_Base'!$A$5:$P$12,16,FALSE)</x:f>
        <x:v>1</x:v>
      </x:c>
      <x:c r="P66" s="30" t="n">
        <x:f>IF(G66="Physical",N66,IF(G66="Magical",O66,0))</x:f>
        <x:v>0</x:v>
      </x:c>
      <x:c r="Q66" s="31" t="n">
        <x:f>MAX(0,H66-P66)</x:f>
        <x:v>3</x:v>
      </x:c>
      <x:c r="R66" s="32" t="n">
        <x:f>IF(Q66=0,"∞",ROUNDUP(F66/Q66,0))</x:f>
        <x:v>6</x:v>
      </x:c>
    </x:row>
    <x:row r="67">
      <x:c r="A67" t="inlineStr">
        <x:is>
          <x:t xml:space="preserve">monster</x:t>
        </x:is>
      </x:c>
      <x:c r="B67" t="inlineStr">
        <x:is>
          <x:t xml:space="preserve">barbarian</x:t>
        </x:is>
      </x:c>
      <x:c r="C67" s="5" t="n">
        <x:f>VLOOKUP(A67,'01_Hero_Base'!$A$5:$N$12,5,FALSE)</x:f>
        <x:v>3</x:v>
      </x:c>
      <x:c r="D67" s="5" t="n">
        <x:f>VLOOKUP(A67,'01_Hero_Base'!$A$5:$N$12,6,FALSE)</x:f>
        <x:v>3</x:v>
      </x:c>
      <x:c r="E67" s="5" t="n">
        <x:f>VLOOKUP(B67,'01_Hero_Base'!$A$5:$N$12,6,FALSE)</x:f>
        <x:v>4</x:v>
      </x:c>
      <x:c r="F67" s="5" t="n">
        <x:f>VLOOKUP(B67,'01_Hero_Base'!$A$5:$N$12,7,FALSE)</x:f>
        <x:v>18</x:v>
      </x:c>
      <x:c r="G67" s="5" t="str">
        <x:f>VLOOKUP(A67,'01_Hero_Base'!$A$5:$N$12,4,FALSE)</x:f>
        <x:v>Physical</x:v>
      </x:c>
      <x:c r="H67" s="5" t="n">
        <x:f>D67</x:f>
        <x:v>3</x:v>
      </x:c>
      <x:c r="I67" s="5" t="n">
        <x:f>MAX(0,E67-'00_Assumptions'!$C$10)</x:f>
        <x:v>3</x:v>
      </x:c>
      <x:c r="J67" s="5" t="n">
        <x:f>H67-I67</x:f>
        <x:v>0</x:v>
      </x:c>
      <x:c r="K67" s="5" t="n">
        <x:f>IF(C67=0,0,H67/C67)</x:f>
        <x:v>1</x:v>
      </x:c>
      <x:c r="L67" s="5" t="n">
        <x:f>IF(H67=0,"∞",ROUNDUP(F67/H67,0))</x:f>
        <x:v>6</x:v>
      </x:c>
      <x:c r="M67" s="5" t="str">
        <x:f>IF(I67&gt;=3,"高",IF(I67&gt;=2,"中","低"))</x:f>
        <x:v>高</x:v>
      </x:c>
      <x:c r="N67" s="29" t="n">
        <x:f>VLOOKUP(B67,'01_Hero_Base'!$A$5:$P$12,15,FALSE)</x:f>
        <x:v>0</x:v>
      </x:c>
      <x:c r="O67" s="30" t="n">
        <x:f>VLOOKUP(B67,'01_Hero_Base'!$A$5:$P$12,16,FALSE)</x:f>
        <x:v>0</x:v>
      </x:c>
      <x:c r="P67" s="30" t="n">
        <x:f>IF(G67="Physical",N67,IF(G67="Magical",O67,0))</x:f>
        <x:v>0</x:v>
      </x:c>
      <x:c r="Q67" s="31" t="n">
        <x:f>MAX(0,H67-P67)</x:f>
        <x:v>3</x:v>
      </x:c>
      <x:c r="R67" s="32" t="n">
        <x:f>IF(Q67=0,"∞",ROUNDUP(F67/Q67,0))</x:f>
        <x:v>6</x:v>
      </x:c>
    </x:row>
    <x:row r="68">
      <x:c r="A68" t="inlineStr">
        <x:is>
          <x:t xml:space="preserve">monster</x:t>
        </x:is>
      </x:c>
      <x:c r="B68" t="inlineStr">
        <x:is>
          <x:t xml:space="preserve">monster</x:t>
        </x:is>
      </x:c>
      <x:c r="C68" s="5" t="n">
        <x:f>VLOOKUP(A68,'01_Hero_Base'!$A$5:$N$12,5,FALSE)</x:f>
        <x:v>3</x:v>
      </x:c>
      <x:c r="D68" s="5" t="n">
        <x:f>VLOOKUP(A68,'01_Hero_Base'!$A$5:$N$12,6,FALSE)</x:f>
        <x:v>3</x:v>
      </x:c>
      <x:c r="E68" s="5" t="n">
        <x:f>VLOOKUP(B68,'01_Hero_Base'!$A$5:$N$12,6,FALSE)</x:f>
        <x:v>3</x:v>
      </x:c>
      <x:c r="F68" s="5" t="n">
        <x:f>VLOOKUP(B68,'01_Hero_Base'!$A$5:$N$12,7,FALSE)</x:f>
        <x:v>22</x:v>
      </x:c>
      <x:c r="G68" s="5" t="str">
        <x:f>VLOOKUP(A68,'01_Hero_Base'!$A$5:$N$12,4,FALSE)</x:f>
        <x:v>Physical</x:v>
      </x:c>
      <x:c r="H68" s="5" t="n">
        <x:f>D68</x:f>
        <x:v>3</x:v>
      </x:c>
      <x:c r="I68" s="5" t="n">
        <x:f>MAX(0,E68-'00_Assumptions'!$C$10)</x:f>
        <x:v>2</x:v>
      </x:c>
      <x:c r="J68" s="5" t="n">
        <x:f>H68-I68</x:f>
        <x:v>1</x:v>
      </x:c>
      <x:c r="K68" s="5" t="n">
        <x:f>IF(C68=0,0,H68/C68)</x:f>
        <x:v>1</x:v>
      </x:c>
      <x:c r="L68" s="5" t="n">
        <x:f>IF(H68=0,"∞",ROUNDUP(F68/H68,0))</x:f>
        <x:v>8</x:v>
      </x:c>
      <x:c r="M68" s="5" t="str">
        <x:f>IF(I68&gt;=3,"高",IF(I68&gt;=2,"中","低"))</x:f>
        <x:v>中</x:v>
      </x:c>
      <x:c r="N68" s="29" t="n">
        <x:f>VLOOKUP(B68,'01_Hero_Base'!$A$5:$P$12,15,FALSE)</x:f>
        <x:v>1</x:v>
      </x:c>
      <x:c r="O68" s="30" t="n">
        <x:f>VLOOKUP(B68,'01_Hero_Base'!$A$5:$P$12,16,FALSE)</x:f>
        <x:v>0</x:v>
      </x:c>
      <x:c r="P68" s="30" t="n">
        <x:f>IF(G68="Physical",N68,IF(G68="Magical",O68,0))</x:f>
        <x:v>1</x:v>
      </x:c>
      <x:c r="Q68" s="31" t="n">
        <x:f>MAX(0,H68-P68)</x:f>
        <x:v>2</x:v>
      </x:c>
      <x:c r="R68" s="32" t="n">
        <x:f>IF(Q68=0,"∞",ROUNDUP(F68/Q68,0))</x:f>
        <x:v>11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cols>
    <x:col min="1" max="1" width="14" customWidth="1"/>
    <x:col min="2" max="2" width="16" customWidth="1"/>
    <x:col min="3" max="3" width="9" customWidth="1"/>
    <x:col min="4" max="4" width="11" customWidth="1"/>
    <x:col min="5" max="5" width="10" customWidth="1"/>
    <x:col min="6" max="6" width="11" customWidth="1"/>
    <x:col min="7" max="7" width="11" customWidth="1"/>
    <x:col min="8" max="8" width="10" customWidth="1"/>
    <x:col min="9" max="9" width="11" customWidth="1"/>
    <x:col min="10" max="10" width="11" customWidth="1"/>
    <x:col min="11" max="11" width="10" customWidth="1"/>
    <x:col min="12" max="12" width="11" customWidth="1"/>
    <x:col min="13" max="13" width="20" customWidth="1"/>
    <x:col min="14" max="14" width="13" customWidth="1"/>
    <x:col min="15" max="15" width="44" customWidth="1"/>
  </x:cols>
  <x:sheetData>
    <x:row r="1" ht="24" customHeight="1">
      <x:c r="A1" s="1" t="inlineStr">
        <x:is>
          <x:t xml:space="preserve">04 Upgrade Curve Draft — 英雄升级曲线草案</x:t>
        </x:is>
      </x:c>
    </x:row>
    <x:row r="2" ht="40" customHeight="1">
      <x:c r="A2" s="2" t="inlineStr">
        <x:is>
          <x:t xml:space="preserve">未来爬塔/成长系统使用。当前只给 Level 1 现行值，Level 2–5 留输入列。建议每次升级只强调一个主要变量。</x:t>
        </x:is>
      </x:c>
    </x:row>
    <x:row r="3"/>
    <x:row r="4" ht="34" customHeight="1">
      <x:c r="A4" s="3" t="inlineStr">
        <x:is>
          <x:t xml:space="preserve">ID</x:t>
        </x:is>
      </x:c>
      <x:c r="B4" s="3" t="inlineStr">
        <x:is>
          <x:t xml:space="preserve">日文名</x:t>
        </x:is>
      </x:c>
      <x:c r="C4" s="3" t="inlineStr">
        <x:is>
          <x:t xml:space="preserve">Level</x:t>
        </x:is>
      </x:c>
      <x:c r="D4" s="3" t="inlineStr">
        <x:is>
          <x:t xml:space="preserve">Base ATK</x:t>
        </x:is>
      </x:c>
      <x:c r="E4" s="3" t="inlineStr">
        <x:is>
          <x:t xml:space="preserve">ATK Δ</x:t>
        </x:is>
      </x:c>
      <x:c r="F4" s="3" t="inlineStr">
        <x:is>
          <x:t xml:space="preserve">ATK Total</x:t>
        </x:is>
      </x:c>
      <x:c r="G4" s="3" t="inlineStr">
        <x:is>
          <x:t xml:space="preserve">Base HP</x:t>
        </x:is>
      </x:c>
      <x:c r="H4" s="3" t="inlineStr">
        <x:is>
          <x:t xml:space="preserve">HP Δ</x:t>
        </x:is>
      </x:c>
      <x:c r="I4" s="3" t="inlineStr">
        <x:is>
          <x:t xml:space="preserve">HP Total</x:t>
        </x:is>
      </x:c>
      <x:c r="J4" s="3" t="inlineStr">
        <x:is>
          <x:t xml:space="preserve">Base Cost</x:t>
        </x:is>
      </x:c>
      <x:c r="K4" s="3" t="inlineStr">
        <x:is>
          <x:t xml:space="preserve">Cost Δ</x:t>
        </x:is>
      </x:c>
      <x:c r="L4" s="3" t="inlineStr">
        <x:is>
          <x:t xml:space="preserve">Cost Total</x:t>
        </x:is>
      </x:c>
      <x:c r="M4" s="3" t="inlineStr">
        <x:is>
          <x:t xml:space="preserve">Skill Upgrade Tag</x:t>
        </x:is>
      </x:c>
      <x:c r="N4" s="3" t="inlineStr">
        <x:is>
          <x:t xml:space="preserve">Draft Power</x:t>
        </x:is>
      </x:c>
      <x:c r="O4" s="3" t="inlineStr">
        <x:is>
          <x:t xml:space="preserve">Design Notes</x:t>
        </x:is>
      </x:c>
    </x:row>
    <x:row r="5">
      <x:c r="A5" t="inlineStr">
        <x:is>
          <x:t xml:space="preserve">peasant</x:t>
        </x:is>
      </x:c>
      <x:c r="B5" t="inlineStr">
        <x:is>
          <x:t xml:space="preserve">農民</x:t>
        </x:is>
      </x:c>
      <x:c r="C5" s="8">
        <x:v>1</x:v>
      </x:c>
      <x:c r="D5" s="5" t="n">
        <x:f>VLOOKUP(A5,'01_Hero_Base'!$A$5:$N$12,6,FALSE)</x:f>
        <x:v>2</x:v>
      </x:c>
      <x:c r="E5" s="4">
        <x:v>0</x:v>
      </x:c>
      <x:c r="F5" s="5" t="n">
        <x:f>D5+IF(E5="",0,E5)</x:f>
        <x:v>2</x:v>
      </x:c>
      <x:c r="G5" s="5" t="n">
        <x:f>VLOOKUP(A5,'01_Hero_Base'!$A$5:$N$12,7,FALSE)</x:f>
        <x:v>16</x:v>
      </x:c>
      <x:c r="H5" s="4">
        <x:v>0</x:v>
      </x:c>
      <x:c r="I5" s="5" t="n">
        <x:f>G5+IF(H5="",0,H5)</x:f>
        <x:v>16</x:v>
      </x:c>
      <x:c r="J5" s="5" t="n">
        <x:f>VLOOKUP(A5,'01_Hero_Base'!$A$5:$N$12,5,FALSE)</x:f>
        <x:v>1</x:v>
      </x:c>
      <x:c r="K5" s="4">
        <x:v>0</x:v>
      </x:c>
      <x:c r="L5" s="5" t="n">
        <x:f>MAX(1,J5+IF(K5="",0,K5))</x:f>
        <x:v>1</x:v>
      </x:c>
      <x:c r="M5" s="4"/>
      <x:c r="N5" s="5" t="n">
        <x:f>F5*'00_Assumptions'!$C$22+I5*'00_Assumptions'!$C$23+('00_Assumptions'!$C$5-L5)*'00_Assumptions'!$C$24</x:f>
        <x:v>21.2</x:v>
      </x:c>
      <x:c r="O5" s="6" t="inlineStr">
        <x:is>
          <x:t xml:space="preserve">现行基础值。</x:t>
        </x:is>
      </x:c>
    </x:row>
    <x:row r="6">
      <x:c r="A6" t="inlineStr">
        <x:is>
          <x:t xml:space="preserve">peasant</x:t>
        </x:is>
      </x:c>
      <x:c r="B6" t="inlineStr">
        <x:is>
          <x:t xml:space="preserve">農民</x:t>
        </x:is>
      </x:c>
      <x:c r="C6" s="8">
        <x:v>2</x:v>
      </x:c>
      <x:c r="D6" s="5" t="n">
        <x:f>VLOOKUP(A6,'01_Hero_Base'!$A$5:$N$12,6,FALSE)</x:f>
        <x:v>2</x:v>
      </x:c>
      <x:c r="E6" s="4"/>
      <x:c r="F6" s="5" t="n">
        <x:f>D6+IF(E6="",0,E6)</x:f>
        <x:v>2</x:v>
      </x:c>
      <x:c r="G6" s="5" t="n">
        <x:f>VLOOKUP(A6,'01_Hero_Base'!$A$5:$N$12,7,FALSE)</x:f>
        <x:v>16</x:v>
      </x:c>
      <x:c r="H6" s="4"/>
      <x:c r="I6" s="5" t="n">
        <x:f>G6+IF(H6="",0,H6)</x:f>
        <x:v>16</x:v>
      </x:c>
      <x:c r="J6" s="5" t="n">
        <x:f>VLOOKUP(A6,'01_Hero_Base'!$A$5:$N$12,5,FALSE)</x:f>
        <x:v>1</x:v>
      </x:c>
      <x:c r="K6" s="4"/>
      <x:c r="L6" s="5" t="n">
        <x:f>MAX(1,J6+IF(K6="",0,K6))</x:f>
        <x:v>1</x:v>
      </x:c>
      <x:c r="M6" s="4" t="inlineStr">
        <x:is>
          <x:t xml:space="preserve">TBD</x:t>
        </x:is>
      </x:c>
      <x:c r="N6" s="5" t="n">
        <x:f>F6*'00_Assumptions'!$C$22+I6*'00_Assumptions'!$C$23+('00_Assumptions'!$C$5-L6)*'00_Assumptions'!$C$24</x:f>
        <x:v>21.2</x:v>
      </x:c>
      <x:c r="O6" s="6" t="inlineStr">
        <x:is>
          <x:t xml:space="preserve">待设计：填入本等级的成长或技能强化。</x:t>
        </x:is>
      </x:c>
    </x:row>
    <x:row r="7">
      <x:c r="A7" t="inlineStr">
        <x:is>
          <x:t xml:space="preserve">peasant</x:t>
        </x:is>
      </x:c>
      <x:c r="B7" t="inlineStr">
        <x:is>
          <x:t xml:space="preserve">農民</x:t>
        </x:is>
      </x:c>
      <x:c r="C7" s="8">
        <x:v>3</x:v>
      </x:c>
      <x:c r="D7" s="5" t="n">
        <x:f>VLOOKUP(A7,'01_Hero_Base'!$A$5:$N$12,6,FALSE)</x:f>
        <x:v>2</x:v>
      </x:c>
      <x:c r="E7" s="4"/>
      <x:c r="F7" s="5" t="n">
        <x:f>D7+IF(E7="",0,E7)</x:f>
        <x:v>2</x:v>
      </x:c>
      <x:c r="G7" s="5" t="n">
        <x:f>VLOOKUP(A7,'01_Hero_Base'!$A$5:$N$12,7,FALSE)</x:f>
        <x:v>16</x:v>
      </x:c>
      <x:c r="H7" s="4"/>
      <x:c r="I7" s="5" t="n">
        <x:f>G7+IF(H7="",0,H7)</x:f>
        <x:v>16</x:v>
      </x:c>
      <x:c r="J7" s="5" t="n">
        <x:f>VLOOKUP(A7,'01_Hero_Base'!$A$5:$N$12,5,FALSE)</x:f>
        <x:v>1</x:v>
      </x:c>
      <x:c r="K7" s="4"/>
      <x:c r="L7" s="5" t="n">
        <x:f>MAX(1,J7+IF(K7="",0,K7))</x:f>
        <x:v>1</x:v>
      </x:c>
      <x:c r="M7" s="4" t="inlineStr">
        <x:is>
          <x:t xml:space="preserve">TBD</x:t>
        </x:is>
      </x:c>
      <x:c r="N7" s="5" t="n">
        <x:f>F7*'00_Assumptions'!$C$22+I7*'00_Assumptions'!$C$23+('00_Assumptions'!$C$5-L7)*'00_Assumptions'!$C$24</x:f>
        <x:v>21.2</x:v>
      </x:c>
      <x:c r="O7" s="6" t="inlineStr">
        <x:is>
          <x:t xml:space="preserve">待设计：填入本等级的成长或技能强化。</x:t>
        </x:is>
      </x:c>
    </x:row>
    <x:row r="8">
      <x:c r="A8" t="inlineStr">
        <x:is>
          <x:t xml:space="preserve">peasant</x:t>
        </x:is>
      </x:c>
      <x:c r="B8" t="inlineStr">
        <x:is>
          <x:t xml:space="preserve">農民</x:t>
        </x:is>
      </x:c>
      <x:c r="C8" s="8">
        <x:v>4</x:v>
      </x:c>
      <x:c r="D8" s="5" t="n">
        <x:f>VLOOKUP(A8,'01_Hero_Base'!$A$5:$N$12,6,FALSE)</x:f>
        <x:v>2</x:v>
      </x:c>
      <x:c r="E8" s="4"/>
      <x:c r="F8" s="5" t="n">
        <x:f>D8+IF(E8="",0,E8)</x:f>
        <x:v>2</x:v>
      </x:c>
      <x:c r="G8" s="5" t="n">
        <x:f>VLOOKUP(A8,'01_Hero_Base'!$A$5:$N$12,7,FALSE)</x:f>
        <x:v>16</x:v>
      </x:c>
      <x:c r="H8" s="4"/>
      <x:c r="I8" s="5" t="n">
        <x:f>G8+IF(H8="",0,H8)</x:f>
        <x:v>16</x:v>
      </x:c>
      <x:c r="J8" s="5" t="n">
        <x:f>VLOOKUP(A8,'01_Hero_Base'!$A$5:$N$12,5,FALSE)</x:f>
        <x:v>1</x:v>
      </x:c>
      <x:c r="K8" s="4"/>
      <x:c r="L8" s="5" t="n">
        <x:f>MAX(1,J8+IF(K8="",0,K8))</x:f>
        <x:v>1</x:v>
      </x:c>
      <x:c r="M8" s="4" t="inlineStr">
        <x:is>
          <x:t xml:space="preserve">TBD</x:t>
        </x:is>
      </x:c>
      <x:c r="N8" s="5" t="n">
        <x:f>F8*'00_Assumptions'!$C$22+I8*'00_Assumptions'!$C$23+('00_Assumptions'!$C$5-L8)*'00_Assumptions'!$C$24</x:f>
        <x:v>21.2</x:v>
      </x:c>
      <x:c r="O8" s="6" t="inlineStr">
        <x:is>
          <x:t xml:space="preserve">待设计：填入本等级的成长或技能强化。</x:t>
        </x:is>
      </x:c>
    </x:row>
    <x:row r="9">
      <x:c r="A9" t="inlineStr">
        <x:is>
          <x:t xml:space="preserve">peasant</x:t>
        </x:is>
      </x:c>
      <x:c r="B9" t="inlineStr">
        <x:is>
          <x:t xml:space="preserve">農民</x:t>
        </x:is>
      </x:c>
      <x:c r="C9" s="8">
        <x:v>5</x:v>
      </x:c>
      <x:c r="D9" s="5" t="n">
        <x:f>VLOOKUP(A9,'01_Hero_Base'!$A$5:$N$12,6,FALSE)</x:f>
        <x:v>2</x:v>
      </x:c>
      <x:c r="E9" s="4"/>
      <x:c r="F9" s="5" t="n">
        <x:f>D9+IF(E9="",0,E9)</x:f>
        <x:v>2</x:v>
      </x:c>
      <x:c r="G9" s="5" t="n">
        <x:f>VLOOKUP(A9,'01_Hero_Base'!$A$5:$N$12,7,FALSE)</x:f>
        <x:v>16</x:v>
      </x:c>
      <x:c r="H9" s="4"/>
      <x:c r="I9" s="5" t="n">
        <x:f>G9+IF(H9="",0,H9)</x:f>
        <x:v>16</x:v>
      </x:c>
      <x:c r="J9" s="5" t="n">
        <x:f>VLOOKUP(A9,'01_Hero_Base'!$A$5:$N$12,5,FALSE)</x:f>
        <x:v>1</x:v>
      </x:c>
      <x:c r="K9" s="4"/>
      <x:c r="L9" s="5" t="n">
        <x:f>MAX(1,J9+IF(K9="",0,K9))</x:f>
        <x:v>1</x:v>
      </x:c>
      <x:c r="M9" s="4" t="inlineStr">
        <x:is>
          <x:t xml:space="preserve">TBD</x:t>
        </x:is>
      </x:c>
      <x:c r="N9" s="5" t="n">
        <x:f>F9*'00_Assumptions'!$C$22+I9*'00_Assumptions'!$C$23+('00_Assumptions'!$C$5-L9)*'00_Assumptions'!$C$24</x:f>
        <x:v>21.2</x:v>
      </x:c>
      <x:c r="O9" s="6" t="inlineStr">
        <x:is>
          <x:t xml:space="preserve">待设计：填入本等级的成长或技能强化。</x:t>
        </x:is>
      </x:c>
    </x:row>
    <x:row r="10">
      <x:c r="A10" t="inlineStr">
        <x:is>
          <x:t xml:space="preserve">princess</x:t>
        </x:is>
      </x:c>
      <x:c r="B10" t="inlineStr">
        <x:is>
          <x:t xml:space="preserve">姫</x:t>
        </x:is>
      </x:c>
      <x:c r="C10" s="8">
        <x:v>1</x:v>
      </x:c>
      <x:c r="D10" s="5" t="n">
        <x:f>VLOOKUP(A10,'01_Hero_Base'!$A$5:$N$12,6,FALSE)</x:f>
        <x:v>1</x:v>
      </x:c>
      <x:c r="E10" s="4">
        <x:v>0</x:v>
      </x:c>
      <x:c r="F10" s="5" t="n">
        <x:f>D10+IF(E10="",0,E10)</x:f>
        <x:v>1</x:v>
      </x:c>
      <x:c r="G10" s="5" t="n">
        <x:f>VLOOKUP(A10,'01_Hero_Base'!$A$5:$N$12,7,FALSE)</x:f>
        <x:v>12</x:v>
      </x:c>
      <x:c r="H10" s="4">
        <x:v>0</x:v>
      </x:c>
      <x:c r="I10" s="5" t="n">
        <x:f>G10+IF(H10="",0,H10)</x:f>
        <x:v>12</x:v>
      </x:c>
      <x:c r="J10" s="5" t="n">
        <x:f>VLOOKUP(A10,'01_Hero_Base'!$A$5:$N$12,5,FALSE)</x:f>
        <x:v>1</x:v>
      </x:c>
      <x:c r="K10" s="4">
        <x:v>0</x:v>
      </x:c>
      <x:c r="L10" s="5" t="n">
        <x:f>MAX(1,J10+IF(K10="",0,K10))</x:f>
        <x:v>1</x:v>
      </x:c>
      <x:c r="M10" s="4"/>
      <x:c r="N10" s="5" t="n">
        <x:f>F10*'00_Assumptions'!$C$22+I10*'00_Assumptions'!$C$23+('00_Assumptions'!$C$5-L10)*'00_Assumptions'!$C$24</x:f>
        <x:v>16.4</x:v>
      </x:c>
      <x:c r="O10" s="6" t="inlineStr">
        <x:is>
          <x:t xml:space="preserve">现行基础值。</x:t>
        </x:is>
      </x:c>
    </x:row>
    <x:row r="11">
      <x:c r="A11" t="inlineStr">
        <x:is>
          <x:t xml:space="preserve">princess</x:t>
        </x:is>
      </x:c>
      <x:c r="B11" t="inlineStr">
        <x:is>
          <x:t xml:space="preserve">姫</x:t>
        </x:is>
      </x:c>
      <x:c r="C11" s="8">
        <x:v>2</x:v>
      </x:c>
      <x:c r="D11" s="5" t="n">
        <x:f>VLOOKUP(A11,'01_Hero_Base'!$A$5:$N$12,6,FALSE)</x:f>
        <x:v>1</x:v>
      </x:c>
      <x:c r="E11" s="4"/>
      <x:c r="F11" s="5" t="n">
        <x:f>D11+IF(E11="",0,E11)</x:f>
        <x:v>1</x:v>
      </x:c>
      <x:c r="G11" s="5" t="n">
        <x:f>VLOOKUP(A11,'01_Hero_Base'!$A$5:$N$12,7,FALSE)</x:f>
        <x:v>12</x:v>
      </x:c>
      <x:c r="H11" s="4"/>
      <x:c r="I11" s="5" t="n">
        <x:f>G11+IF(H11="",0,H11)</x:f>
        <x:v>12</x:v>
      </x:c>
      <x:c r="J11" s="5" t="n">
        <x:f>VLOOKUP(A11,'01_Hero_Base'!$A$5:$N$12,5,FALSE)</x:f>
        <x:v>1</x:v>
      </x:c>
      <x:c r="K11" s="4"/>
      <x:c r="L11" s="5" t="n">
        <x:f>MAX(1,J11+IF(K11="",0,K11))</x:f>
        <x:v>1</x:v>
      </x:c>
      <x:c r="M11" s="4" t="inlineStr">
        <x:is>
          <x:t xml:space="preserve">TBD</x:t>
        </x:is>
      </x:c>
      <x:c r="N11" s="5" t="n">
        <x:f>F11*'00_Assumptions'!$C$22+I11*'00_Assumptions'!$C$23+('00_Assumptions'!$C$5-L11)*'00_Assumptions'!$C$24</x:f>
        <x:v>16.4</x:v>
      </x:c>
      <x:c r="O11" s="6" t="inlineStr">
        <x:is>
          <x:t xml:space="preserve">待设计：填入本等级的成长或技能强化。</x:t>
        </x:is>
      </x:c>
    </x:row>
    <x:row r="12">
      <x:c r="A12" t="inlineStr">
        <x:is>
          <x:t xml:space="preserve">princess</x:t>
        </x:is>
      </x:c>
      <x:c r="B12" t="inlineStr">
        <x:is>
          <x:t xml:space="preserve">姫</x:t>
        </x:is>
      </x:c>
      <x:c r="C12" s="8">
        <x:v>3</x:v>
      </x:c>
      <x:c r="D12" s="5" t="n">
        <x:f>VLOOKUP(A12,'01_Hero_Base'!$A$5:$N$12,6,FALSE)</x:f>
        <x:v>1</x:v>
      </x:c>
      <x:c r="E12" s="4"/>
      <x:c r="F12" s="5" t="n">
        <x:f>D12+IF(E12="",0,E12)</x:f>
        <x:v>1</x:v>
      </x:c>
      <x:c r="G12" s="5" t="n">
        <x:f>VLOOKUP(A12,'01_Hero_Base'!$A$5:$N$12,7,FALSE)</x:f>
        <x:v>12</x:v>
      </x:c>
      <x:c r="H12" s="4"/>
      <x:c r="I12" s="5" t="n">
        <x:f>G12+IF(H12="",0,H12)</x:f>
        <x:v>12</x:v>
      </x:c>
      <x:c r="J12" s="5" t="n">
        <x:f>VLOOKUP(A12,'01_Hero_Base'!$A$5:$N$12,5,FALSE)</x:f>
        <x:v>1</x:v>
      </x:c>
      <x:c r="K12" s="4"/>
      <x:c r="L12" s="5" t="n">
        <x:f>MAX(1,J12+IF(K12="",0,K12))</x:f>
        <x:v>1</x:v>
      </x:c>
      <x:c r="M12" s="4" t="inlineStr">
        <x:is>
          <x:t xml:space="preserve">TBD</x:t>
        </x:is>
      </x:c>
      <x:c r="N12" s="5" t="n">
        <x:f>F12*'00_Assumptions'!$C$22+I12*'00_Assumptions'!$C$23+('00_Assumptions'!$C$5-L12)*'00_Assumptions'!$C$24</x:f>
        <x:v>16.4</x:v>
      </x:c>
      <x:c r="O12" s="6" t="inlineStr">
        <x:is>
          <x:t xml:space="preserve">待设计：填入本等级的成长或技能强化。</x:t>
        </x:is>
      </x:c>
    </x:row>
    <x:row r="13">
      <x:c r="A13" t="inlineStr">
        <x:is>
          <x:t xml:space="preserve">princess</x:t>
        </x:is>
      </x:c>
      <x:c r="B13" t="inlineStr">
        <x:is>
          <x:t xml:space="preserve">姫</x:t>
        </x:is>
      </x:c>
      <x:c r="C13" s="8">
        <x:v>4</x:v>
      </x:c>
      <x:c r="D13" s="5" t="n">
        <x:f>VLOOKUP(A13,'01_Hero_Base'!$A$5:$N$12,6,FALSE)</x:f>
        <x:v>1</x:v>
      </x:c>
      <x:c r="E13" s="4"/>
      <x:c r="F13" s="5" t="n">
        <x:f>D13+IF(E13="",0,E13)</x:f>
        <x:v>1</x:v>
      </x:c>
      <x:c r="G13" s="5" t="n">
        <x:f>VLOOKUP(A13,'01_Hero_Base'!$A$5:$N$12,7,FALSE)</x:f>
        <x:v>12</x:v>
      </x:c>
      <x:c r="H13" s="4"/>
      <x:c r="I13" s="5" t="n">
        <x:f>G13+IF(H13="",0,H13)</x:f>
        <x:v>12</x:v>
      </x:c>
      <x:c r="J13" s="5" t="n">
        <x:f>VLOOKUP(A13,'01_Hero_Base'!$A$5:$N$12,5,FALSE)</x:f>
        <x:v>1</x:v>
      </x:c>
      <x:c r="K13" s="4"/>
      <x:c r="L13" s="5" t="n">
        <x:f>MAX(1,J13+IF(K13="",0,K13))</x:f>
        <x:v>1</x:v>
      </x:c>
      <x:c r="M13" s="4" t="inlineStr">
        <x:is>
          <x:t xml:space="preserve">TBD</x:t>
        </x:is>
      </x:c>
      <x:c r="N13" s="5" t="n">
        <x:f>F13*'00_Assumptions'!$C$22+I13*'00_Assumptions'!$C$23+('00_Assumptions'!$C$5-L13)*'00_Assumptions'!$C$24</x:f>
        <x:v>16.4</x:v>
      </x:c>
      <x:c r="O13" s="6" t="inlineStr">
        <x:is>
          <x:t xml:space="preserve">待设计：填入本等级的成长或技能强化。</x:t>
        </x:is>
      </x:c>
    </x:row>
    <x:row r="14">
      <x:c r="A14" t="inlineStr">
        <x:is>
          <x:t xml:space="preserve">princess</x:t>
        </x:is>
      </x:c>
      <x:c r="B14" t="inlineStr">
        <x:is>
          <x:t xml:space="preserve">姫</x:t>
        </x:is>
      </x:c>
      <x:c r="C14" s="8">
        <x:v>5</x:v>
      </x:c>
      <x:c r="D14" s="5" t="n">
        <x:f>VLOOKUP(A14,'01_Hero_Base'!$A$5:$N$12,6,FALSE)</x:f>
        <x:v>1</x:v>
      </x:c>
      <x:c r="E14" s="4"/>
      <x:c r="F14" s="5" t="n">
        <x:f>D14+IF(E14="",0,E14)</x:f>
        <x:v>1</x:v>
      </x:c>
      <x:c r="G14" s="5" t="n">
        <x:f>VLOOKUP(A14,'01_Hero_Base'!$A$5:$N$12,7,FALSE)</x:f>
        <x:v>12</x:v>
      </x:c>
      <x:c r="H14" s="4"/>
      <x:c r="I14" s="5" t="n">
        <x:f>G14+IF(H14="",0,H14)</x:f>
        <x:v>12</x:v>
      </x:c>
      <x:c r="J14" s="5" t="n">
        <x:f>VLOOKUP(A14,'01_Hero_Base'!$A$5:$N$12,5,FALSE)</x:f>
        <x:v>1</x:v>
      </x:c>
      <x:c r="K14" s="4"/>
      <x:c r="L14" s="5" t="n">
        <x:f>MAX(1,J14+IF(K14="",0,K14))</x:f>
        <x:v>1</x:v>
      </x:c>
      <x:c r="M14" s="4" t="inlineStr">
        <x:is>
          <x:t xml:space="preserve">TBD</x:t>
        </x:is>
      </x:c>
      <x:c r="N14" s="5" t="n">
        <x:f>F14*'00_Assumptions'!$C$22+I14*'00_Assumptions'!$C$23+('00_Assumptions'!$C$5-L14)*'00_Assumptions'!$C$24</x:f>
        <x:v>16.4</x:v>
      </x:c>
      <x:c r="O14" s="6" t="inlineStr">
        <x:is>
          <x:t xml:space="preserve">待设计：填入本等级的成长或技能强化。</x:t>
        </x:is>
      </x:c>
    </x:row>
    <x:row r="15">
      <x:c r="A15" t="inlineStr">
        <x:is>
          <x:t xml:space="preserve">mage</x:t>
        </x:is>
      </x:c>
      <x:c r="B15" t="inlineStr">
        <x:is>
          <x:t xml:space="preserve">魔法使い</x:t>
        </x:is>
      </x:c>
      <x:c r="C15" s="8">
        <x:v>1</x:v>
      </x:c>
      <x:c r="D15" s="5" t="n">
        <x:f>VLOOKUP(A15,'01_Hero_Base'!$A$5:$N$12,6,FALSE)</x:f>
        <x:v>4</x:v>
      </x:c>
      <x:c r="E15" s="4">
        <x:v>0</x:v>
      </x:c>
      <x:c r="F15" s="5" t="n">
        <x:f>D15+IF(E15="",0,E15)</x:f>
        <x:v>4</x:v>
      </x:c>
      <x:c r="G15" s="5" t="n">
        <x:f>VLOOKUP(A15,'01_Hero_Base'!$A$5:$N$12,7,FALSE)</x:f>
        <x:v>16</x:v>
      </x:c>
      <x:c r="H15" s="4">
        <x:v>0</x:v>
      </x:c>
      <x:c r="I15" s="5" t="n">
        <x:f>G15+IF(H15="",0,H15)</x:f>
        <x:v>16</x:v>
      </x:c>
      <x:c r="J15" s="5" t="n">
        <x:f>VLOOKUP(A15,'01_Hero_Base'!$A$5:$N$12,5,FALSE)</x:f>
        <x:v>2</x:v>
      </x:c>
      <x:c r="K15" s="4">
        <x:v>0</x:v>
      </x:c>
      <x:c r="L15" s="5" t="n">
        <x:f>MAX(1,J15+IF(K15="",0,K15))</x:f>
        <x:v>2</x:v>
      </x:c>
      <x:c r="M15" s="4"/>
      <x:c r="N15" s="5" t="n">
        <x:f>F15*'00_Assumptions'!$C$22+I15*'00_Assumptions'!$C$23+('00_Assumptions'!$C$5-L15)*'00_Assumptions'!$C$24</x:f>
        <x:v>25.2</x:v>
      </x:c>
      <x:c r="O15" s="6" t="inlineStr">
        <x:is>
          <x:t xml:space="preserve">现行基础值。</x:t>
        </x:is>
      </x:c>
    </x:row>
    <x:row r="16">
      <x:c r="A16" t="inlineStr">
        <x:is>
          <x:t xml:space="preserve">mage</x:t>
        </x:is>
      </x:c>
      <x:c r="B16" t="inlineStr">
        <x:is>
          <x:t xml:space="preserve">魔法使い</x:t>
        </x:is>
      </x:c>
      <x:c r="C16" s="8">
        <x:v>2</x:v>
      </x:c>
      <x:c r="D16" s="5" t="n">
        <x:f>VLOOKUP(A16,'01_Hero_Base'!$A$5:$N$12,6,FALSE)</x:f>
        <x:v>4</x:v>
      </x:c>
      <x:c r="E16" s="4"/>
      <x:c r="F16" s="5" t="n">
        <x:f>D16+IF(E16="",0,E16)</x:f>
        <x:v>4</x:v>
      </x:c>
      <x:c r="G16" s="5" t="n">
        <x:f>VLOOKUP(A16,'01_Hero_Base'!$A$5:$N$12,7,FALSE)</x:f>
        <x:v>16</x:v>
      </x:c>
      <x:c r="H16" s="4"/>
      <x:c r="I16" s="5" t="n">
        <x:f>G16+IF(H16="",0,H16)</x:f>
        <x:v>16</x:v>
      </x:c>
      <x:c r="J16" s="5" t="n">
        <x:f>VLOOKUP(A16,'01_Hero_Base'!$A$5:$N$12,5,FALSE)</x:f>
        <x:v>2</x:v>
      </x:c>
      <x:c r="K16" s="4"/>
      <x:c r="L16" s="5" t="n">
        <x:f>MAX(1,J16+IF(K16="",0,K16))</x:f>
        <x:v>2</x:v>
      </x:c>
      <x:c r="M16" s="4" t="inlineStr">
        <x:is>
          <x:t xml:space="preserve">TBD</x:t>
        </x:is>
      </x:c>
      <x:c r="N16" s="5" t="n">
        <x:f>F16*'00_Assumptions'!$C$22+I16*'00_Assumptions'!$C$23+('00_Assumptions'!$C$5-L16)*'00_Assumptions'!$C$24</x:f>
        <x:v>25.2</x:v>
      </x:c>
      <x:c r="O16" s="6" t="inlineStr">
        <x:is>
          <x:t xml:space="preserve">待设计：填入本等级的成长或技能强化。</x:t>
        </x:is>
      </x:c>
    </x:row>
    <x:row r="17">
      <x:c r="A17" t="inlineStr">
        <x:is>
          <x:t xml:space="preserve">mage</x:t>
        </x:is>
      </x:c>
      <x:c r="B17" t="inlineStr">
        <x:is>
          <x:t xml:space="preserve">魔法使い</x:t>
        </x:is>
      </x:c>
      <x:c r="C17" s="8">
        <x:v>3</x:v>
      </x:c>
      <x:c r="D17" s="5" t="n">
        <x:f>VLOOKUP(A17,'01_Hero_Base'!$A$5:$N$12,6,FALSE)</x:f>
        <x:v>4</x:v>
      </x:c>
      <x:c r="E17" s="4"/>
      <x:c r="F17" s="5" t="n">
        <x:f>D17+IF(E17="",0,E17)</x:f>
        <x:v>4</x:v>
      </x:c>
      <x:c r="G17" s="5" t="n">
        <x:f>VLOOKUP(A17,'01_Hero_Base'!$A$5:$N$12,7,FALSE)</x:f>
        <x:v>16</x:v>
      </x:c>
      <x:c r="H17" s="4"/>
      <x:c r="I17" s="5" t="n">
        <x:f>G17+IF(H17="",0,H17)</x:f>
        <x:v>16</x:v>
      </x:c>
      <x:c r="J17" s="5" t="n">
        <x:f>VLOOKUP(A17,'01_Hero_Base'!$A$5:$N$12,5,FALSE)</x:f>
        <x:v>2</x:v>
      </x:c>
      <x:c r="K17" s="4"/>
      <x:c r="L17" s="5" t="n">
        <x:f>MAX(1,J17+IF(K17="",0,K17))</x:f>
        <x:v>2</x:v>
      </x:c>
      <x:c r="M17" s="4" t="inlineStr">
        <x:is>
          <x:t xml:space="preserve">TBD</x:t>
        </x:is>
      </x:c>
      <x:c r="N17" s="5" t="n">
        <x:f>F17*'00_Assumptions'!$C$22+I17*'00_Assumptions'!$C$23+('00_Assumptions'!$C$5-L17)*'00_Assumptions'!$C$24</x:f>
        <x:v>25.2</x:v>
      </x:c>
      <x:c r="O17" s="6" t="inlineStr">
        <x:is>
          <x:t xml:space="preserve">待设计：填入本等级的成长或技能强化。</x:t>
        </x:is>
      </x:c>
    </x:row>
    <x:row r="18">
      <x:c r="A18" t="inlineStr">
        <x:is>
          <x:t xml:space="preserve">mage</x:t>
        </x:is>
      </x:c>
      <x:c r="B18" t="inlineStr">
        <x:is>
          <x:t xml:space="preserve">魔法使い</x:t>
        </x:is>
      </x:c>
      <x:c r="C18" s="8">
        <x:v>4</x:v>
      </x:c>
      <x:c r="D18" s="5" t="n">
        <x:f>VLOOKUP(A18,'01_Hero_Base'!$A$5:$N$12,6,FALSE)</x:f>
        <x:v>4</x:v>
      </x:c>
      <x:c r="E18" s="4"/>
      <x:c r="F18" s="5" t="n">
        <x:f>D18+IF(E18="",0,E18)</x:f>
        <x:v>4</x:v>
      </x:c>
      <x:c r="G18" s="5" t="n">
        <x:f>VLOOKUP(A18,'01_Hero_Base'!$A$5:$N$12,7,FALSE)</x:f>
        <x:v>16</x:v>
      </x:c>
      <x:c r="H18" s="4"/>
      <x:c r="I18" s="5" t="n">
        <x:f>G18+IF(H18="",0,H18)</x:f>
        <x:v>16</x:v>
      </x:c>
      <x:c r="J18" s="5" t="n">
        <x:f>VLOOKUP(A18,'01_Hero_Base'!$A$5:$N$12,5,FALSE)</x:f>
        <x:v>2</x:v>
      </x:c>
      <x:c r="K18" s="4"/>
      <x:c r="L18" s="5" t="n">
        <x:f>MAX(1,J18+IF(K18="",0,K18))</x:f>
        <x:v>2</x:v>
      </x:c>
      <x:c r="M18" s="4" t="inlineStr">
        <x:is>
          <x:t xml:space="preserve">TBD</x:t>
        </x:is>
      </x:c>
      <x:c r="N18" s="5" t="n">
        <x:f>F18*'00_Assumptions'!$C$22+I18*'00_Assumptions'!$C$23+('00_Assumptions'!$C$5-L18)*'00_Assumptions'!$C$24</x:f>
        <x:v>25.2</x:v>
      </x:c>
      <x:c r="O18" s="6" t="inlineStr">
        <x:is>
          <x:t xml:space="preserve">待设计：填入本等级的成长或技能强化。</x:t>
        </x:is>
      </x:c>
    </x:row>
    <x:row r="19">
      <x:c r="A19" t="inlineStr">
        <x:is>
          <x:t xml:space="preserve">mage</x:t>
        </x:is>
      </x:c>
      <x:c r="B19" t="inlineStr">
        <x:is>
          <x:t xml:space="preserve">魔法使い</x:t>
        </x:is>
      </x:c>
      <x:c r="C19" s="8">
        <x:v>5</x:v>
      </x:c>
      <x:c r="D19" s="5" t="n">
        <x:f>VLOOKUP(A19,'01_Hero_Base'!$A$5:$N$12,6,FALSE)</x:f>
        <x:v>4</x:v>
      </x:c>
      <x:c r="E19" s="4"/>
      <x:c r="F19" s="5" t="n">
        <x:f>D19+IF(E19="",0,E19)</x:f>
        <x:v>4</x:v>
      </x:c>
      <x:c r="G19" s="5" t="n">
        <x:f>VLOOKUP(A19,'01_Hero_Base'!$A$5:$N$12,7,FALSE)</x:f>
        <x:v>16</x:v>
      </x:c>
      <x:c r="H19" s="4"/>
      <x:c r="I19" s="5" t="n">
        <x:f>G19+IF(H19="",0,H19)</x:f>
        <x:v>16</x:v>
      </x:c>
      <x:c r="J19" s="5" t="n">
        <x:f>VLOOKUP(A19,'01_Hero_Base'!$A$5:$N$12,5,FALSE)</x:f>
        <x:v>2</x:v>
      </x:c>
      <x:c r="K19" s="4"/>
      <x:c r="L19" s="5" t="n">
        <x:f>MAX(1,J19+IF(K19="",0,K19))</x:f>
        <x:v>2</x:v>
      </x:c>
      <x:c r="M19" s="4" t="inlineStr">
        <x:is>
          <x:t xml:space="preserve">TBD</x:t>
        </x:is>
      </x:c>
      <x:c r="N19" s="5" t="n">
        <x:f>F19*'00_Assumptions'!$C$22+I19*'00_Assumptions'!$C$23+('00_Assumptions'!$C$5-L19)*'00_Assumptions'!$C$24</x:f>
        <x:v>25.2</x:v>
      </x:c>
      <x:c r="O19" s="6" t="inlineStr">
        <x:is>
          <x:t xml:space="preserve">待设计：填入本等级的成长或技能强化。</x:t>
        </x:is>
      </x:c>
    </x:row>
    <x:row r="20">
      <x:c r="A20" t="inlineStr">
        <x:is>
          <x:t xml:space="preserve">oracle</x:t>
        </x:is>
      </x:c>
      <x:c r="B20" t="inlineStr">
        <x:is>
          <x:t xml:space="preserve">占い師</x:t>
        </x:is>
      </x:c>
      <x:c r="C20" s="8">
        <x:v>1</x:v>
      </x:c>
      <x:c r="D20" s="5" t="n">
        <x:f>VLOOKUP(A20,'01_Hero_Base'!$A$5:$N$12,6,FALSE)</x:f>
        <x:v>1</x:v>
      </x:c>
      <x:c r="E20" s="4">
        <x:v>0</x:v>
      </x:c>
      <x:c r="F20" s="5" t="n">
        <x:f>D20+IF(E20="",0,E20)</x:f>
        <x:v>1</x:v>
      </x:c>
      <x:c r="G20" s="5" t="n">
        <x:f>VLOOKUP(A20,'01_Hero_Base'!$A$5:$N$12,7,FALSE)</x:f>
        <x:v>14</x:v>
      </x:c>
      <x:c r="H20" s="4">
        <x:v>0</x:v>
      </x:c>
      <x:c r="I20" s="5" t="n">
        <x:f>G20+IF(H20="",0,H20)</x:f>
        <x:v>14</x:v>
      </x:c>
      <x:c r="J20" s="5" t="n">
        <x:f>VLOOKUP(A20,'01_Hero_Base'!$A$5:$N$12,5,FALSE)</x:f>
        <x:v>1</x:v>
      </x:c>
      <x:c r="K20" s="4">
        <x:v>0</x:v>
      </x:c>
      <x:c r="L20" s="5" t="n">
        <x:f>MAX(1,J20+IF(K20="",0,K20))</x:f>
        <x:v>1</x:v>
      </x:c>
      <x:c r="M20" s="4"/>
      <x:c r="N20" s="5" t="n">
        <x:f>F20*'00_Assumptions'!$C$22+I20*'00_Assumptions'!$C$23+('00_Assumptions'!$C$5-L20)*'00_Assumptions'!$C$24</x:f>
        <x:v>17.3</x:v>
      </x:c>
      <x:c r="O20" s="6" t="inlineStr">
        <x:is>
          <x:t xml:space="preserve">现行基础值。</x:t>
        </x:is>
      </x:c>
    </x:row>
    <x:row r="21">
      <x:c r="A21" t="inlineStr">
        <x:is>
          <x:t xml:space="preserve">oracle</x:t>
        </x:is>
      </x:c>
      <x:c r="B21" t="inlineStr">
        <x:is>
          <x:t xml:space="preserve">占い師</x:t>
        </x:is>
      </x:c>
      <x:c r="C21" s="8">
        <x:v>2</x:v>
      </x:c>
      <x:c r="D21" s="5" t="n">
        <x:f>VLOOKUP(A21,'01_Hero_Base'!$A$5:$N$12,6,FALSE)</x:f>
        <x:v>1</x:v>
      </x:c>
      <x:c r="E21" s="4"/>
      <x:c r="F21" s="5" t="n">
        <x:f>D21+IF(E21="",0,E21)</x:f>
        <x:v>1</x:v>
      </x:c>
      <x:c r="G21" s="5" t="n">
        <x:f>VLOOKUP(A21,'01_Hero_Base'!$A$5:$N$12,7,FALSE)</x:f>
        <x:v>14</x:v>
      </x:c>
      <x:c r="H21" s="4"/>
      <x:c r="I21" s="5" t="n">
        <x:f>G21+IF(H21="",0,H21)</x:f>
        <x:v>14</x:v>
      </x:c>
      <x:c r="J21" s="5" t="n">
        <x:f>VLOOKUP(A21,'01_Hero_Base'!$A$5:$N$12,5,FALSE)</x:f>
        <x:v>1</x:v>
      </x:c>
      <x:c r="K21" s="4"/>
      <x:c r="L21" s="5" t="n">
        <x:f>MAX(1,J21+IF(K21="",0,K21))</x:f>
        <x:v>1</x:v>
      </x:c>
      <x:c r="M21" s="4" t="inlineStr">
        <x:is>
          <x:t xml:space="preserve">TBD</x:t>
        </x:is>
      </x:c>
      <x:c r="N21" s="5" t="n">
        <x:f>F21*'00_Assumptions'!$C$22+I21*'00_Assumptions'!$C$23+('00_Assumptions'!$C$5-L21)*'00_Assumptions'!$C$24</x:f>
        <x:v>17.3</x:v>
      </x:c>
      <x:c r="O21" s="6" t="inlineStr">
        <x:is>
          <x:t xml:space="preserve">待设计：填入本等级的成长或技能强化。</x:t>
        </x:is>
      </x:c>
    </x:row>
    <x:row r="22">
      <x:c r="A22" t="inlineStr">
        <x:is>
          <x:t xml:space="preserve">oracle</x:t>
        </x:is>
      </x:c>
      <x:c r="B22" t="inlineStr">
        <x:is>
          <x:t xml:space="preserve">占い師</x:t>
        </x:is>
      </x:c>
      <x:c r="C22" s="8">
        <x:v>3</x:v>
      </x:c>
      <x:c r="D22" s="5" t="n">
        <x:f>VLOOKUP(A22,'01_Hero_Base'!$A$5:$N$12,6,FALSE)</x:f>
        <x:v>1</x:v>
      </x:c>
      <x:c r="E22" s="4"/>
      <x:c r="F22" s="5" t="n">
        <x:f>D22+IF(E22="",0,E22)</x:f>
        <x:v>1</x:v>
      </x:c>
      <x:c r="G22" s="5" t="n">
        <x:f>VLOOKUP(A22,'01_Hero_Base'!$A$5:$N$12,7,FALSE)</x:f>
        <x:v>14</x:v>
      </x:c>
      <x:c r="H22" s="4"/>
      <x:c r="I22" s="5" t="n">
        <x:f>G22+IF(H22="",0,H22)</x:f>
        <x:v>14</x:v>
      </x:c>
      <x:c r="J22" s="5" t="n">
        <x:f>VLOOKUP(A22,'01_Hero_Base'!$A$5:$N$12,5,FALSE)</x:f>
        <x:v>1</x:v>
      </x:c>
      <x:c r="K22" s="4"/>
      <x:c r="L22" s="5" t="n">
        <x:f>MAX(1,J22+IF(K22="",0,K22))</x:f>
        <x:v>1</x:v>
      </x:c>
      <x:c r="M22" s="4" t="inlineStr">
        <x:is>
          <x:t xml:space="preserve">TBD</x:t>
        </x:is>
      </x:c>
      <x:c r="N22" s="5" t="n">
        <x:f>F22*'00_Assumptions'!$C$22+I22*'00_Assumptions'!$C$23+('00_Assumptions'!$C$5-L22)*'00_Assumptions'!$C$24</x:f>
        <x:v>17.3</x:v>
      </x:c>
      <x:c r="O22" s="6" t="inlineStr">
        <x:is>
          <x:t xml:space="preserve">待设计：填入本等级的成长或技能强化。</x:t>
        </x:is>
      </x:c>
    </x:row>
    <x:row r="23">
      <x:c r="A23" t="inlineStr">
        <x:is>
          <x:t xml:space="preserve">oracle</x:t>
        </x:is>
      </x:c>
      <x:c r="B23" t="inlineStr">
        <x:is>
          <x:t xml:space="preserve">占い師</x:t>
        </x:is>
      </x:c>
      <x:c r="C23" s="8">
        <x:v>4</x:v>
      </x:c>
      <x:c r="D23" s="5" t="n">
        <x:f>VLOOKUP(A23,'01_Hero_Base'!$A$5:$N$12,6,FALSE)</x:f>
        <x:v>1</x:v>
      </x:c>
      <x:c r="E23" s="4"/>
      <x:c r="F23" s="5" t="n">
        <x:f>D23+IF(E23="",0,E23)</x:f>
        <x:v>1</x:v>
      </x:c>
      <x:c r="G23" s="5" t="n">
        <x:f>VLOOKUP(A23,'01_Hero_Base'!$A$5:$N$12,7,FALSE)</x:f>
        <x:v>14</x:v>
      </x:c>
      <x:c r="H23" s="4"/>
      <x:c r="I23" s="5" t="n">
        <x:f>G23+IF(H23="",0,H23)</x:f>
        <x:v>14</x:v>
      </x:c>
      <x:c r="J23" s="5" t="n">
        <x:f>VLOOKUP(A23,'01_Hero_Base'!$A$5:$N$12,5,FALSE)</x:f>
        <x:v>1</x:v>
      </x:c>
      <x:c r="K23" s="4"/>
      <x:c r="L23" s="5" t="n">
        <x:f>MAX(1,J23+IF(K23="",0,K23))</x:f>
        <x:v>1</x:v>
      </x:c>
      <x:c r="M23" s="4" t="inlineStr">
        <x:is>
          <x:t xml:space="preserve">TBD</x:t>
        </x:is>
      </x:c>
      <x:c r="N23" s="5" t="n">
        <x:f>F23*'00_Assumptions'!$C$22+I23*'00_Assumptions'!$C$23+('00_Assumptions'!$C$5-L23)*'00_Assumptions'!$C$24</x:f>
        <x:v>17.3</x:v>
      </x:c>
      <x:c r="O23" s="6" t="inlineStr">
        <x:is>
          <x:t xml:space="preserve">待设计：填入本等级的成长或技能强化。</x:t>
        </x:is>
      </x:c>
    </x:row>
    <x:row r="24">
      <x:c r="A24" t="inlineStr">
        <x:is>
          <x:t xml:space="preserve">oracle</x:t>
        </x:is>
      </x:c>
      <x:c r="B24" t="inlineStr">
        <x:is>
          <x:t xml:space="preserve">占い師</x:t>
        </x:is>
      </x:c>
      <x:c r="C24" s="8">
        <x:v>5</x:v>
      </x:c>
      <x:c r="D24" s="5" t="n">
        <x:f>VLOOKUP(A24,'01_Hero_Base'!$A$5:$N$12,6,FALSE)</x:f>
        <x:v>1</x:v>
      </x:c>
      <x:c r="E24" s="4"/>
      <x:c r="F24" s="5" t="n">
        <x:f>D24+IF(E24="",0,E24)</x:f>
        <x:v>1</x:v>
      </x:c>
      <x:c r="G24" s="5" t="n">
        <x:f>VLOOKUP(A24,'01_Hero_Base'!$A$5:$N$12,7,FALSE)</x:f>
        <x:v>14</x:v>
      </x:c>
      <x:c r="H24" s="4"/>
      <x:c r="I24" s="5" t="n">
        <x:f>G24+IF(H24="",0,H24)</x:f>
        <x:v>14</x:v>
      </x:c>
      <x:c r="J24" s="5" t="n">
        <x:f>VLOOKUP(A24,'01_Hero_Base'!$A$5:$N$12,5,FALSE)</x:f>
        <x:v>1</x:v>
      </x:c>
      <x:c r="K24" s="4"/>
      <x:c r="L24" s="5" t="n">
        <x:f>MAX(1,J24+IF(K24="",0,K24))</x:f>
        <x:v>1</x:v>
      </x:c>
      <x:c r="M24" s="4" t="inlineStr">
        <x:is>
          <x:t xml:space="preserve">TBD</x:t>
        </x:is>
      </x:c>
      <x:c r="N24" s="5" t="n">
        <x:f>F24*'00_Assumptions'!$C$22+I24*'00_Assumptions'!$C$23+('00_Assumptions'!$C$5-L24)*'00_Assumptions'!$C$24</x:f>
        <x:v>17.3</x:v>
      </x:c>
      <x:c r="O24" s="6" t="inlineStr">
        <x:is>
          <x:t xml:space="preserve">待设计：填入本等级的成长或技能强化。</x:t>
        </x:is>
      </x:c>
    </x:row>
    <x:row r="25">
      <x:c r="A25" t="inlineStr">
        <x:is>
          <x:t xml:space="preserve">knight</x:t>
        </x:is>
      </x:c>
      <x:c r="B25" t="inlineStr">
        <x:is>
          <x:t xml:space="preserve">騎士</x:t>
        </x:is>
      </x:c>
      <x:c r="C25" s="8">
        <x:v>1</x:v>
      </x:c>
      <x:c r="D25" s="5" t="n">
        <x:f>VLOOKUP(A25,'01_Hero_Base'!$A$5:$N$12,6,FALSE)</x:f>
        <x:v>3</x:v>
      </x:c>
      <x:c r="E25" s="4">
        <x:v>0</x:v>
      </x:c>
      <x:c r="F25" s="5" t="n">
        <x:f>D25+IF(E25="",0,E25)</x:f>
        <x:v>3</x:v>
      </x:c>
      <x:c r="G25" s="5" t="n">
        <x:f>VLOOKUP(A25,'01_Hero_Base'!$A$5:$N$12,7,FALSE)</x:f>
        <x:v>24</x:v>
      </x:c>
      <x:c r="H25" s="4">
        <x:v>0</x:v>
      </x:c>
      <x:c r="I25" s="5" t="n">
        <x:f>G25+IF(H25="",0,H25)</x:f>
        <x:v>24</x:v>
      </x:c>
      <x:c r="J25" s="5" t="n">
        <x:f>VLOOKUP(A25,'01_Hero_Base'!$A$5:$N$12,5,FALSE)</x:f>
        <x:v>3</x:v>
      </x:c>
      <x:c r="K25" s="4">
        <x:v>0</x:v>
      </x:c>
      <x:c r="L25" s="5" t="n">
        <x:f>MAX(1,J25+IF(K25="",0,K25))</x:f>
        <x:v>3</x:v>
      </x:c>
      <x:c r="M25" s="4"/>
      <x:c r="N25" s="5" t="n">
        <x:f>F25*'00_Assumptions'!$C$22+I25*'00_Assumptions'!$C$23+('00_Assumptions'!$C$5-L25)*'00_Assumptions'!$C$24</x:f>
        <x:v>23.8</x:v>
      </x:c>
      <x:c r="O25" s="6" t="inlineStr">
        <x:is>
          <x:t xml:space="preserve">现行基础值。</x:t>
        </x:is>
      </x:c>
    </x:row>
    <x:row r="26">
      <x:c r="A26" t="inlineStr">
        <x:is>
          <x:t xml:space="preserve">knight</x:t>
        </x:is>
      </x:c>
      <x:c r="B26" t="inlineStr">
        <x:is>
          <x:t xml:space="preserve">騎士</x:t>
        </x:is>
      </x:c>
      <x:c r="C26" s="8">
        <x:v>2</x:v>
      </x:c>
      <x:c r="D26" s="5" t="n">
        <x:f>VLOOKUP(A26,'01_Hero_Base'!$A$5:$N$12,6,FALSE)</x:f>
        <x:v>3</x:v>
      </x:c>
      <x:c r="E26" s="4"/>
      <x:c r="F26" s="5" t="n">
        <x:f>D26+IF(E26="",0,E26)</x:f>
        <x:v>3</x:v>
      </x:c>
      <x:c r="G26" s="5" t="n">
        <x:f>VLOOKUP(A26,'01_Hero_Base'!$A$5:$N$12,7,FALSE)</x:f>
        <x:v>24</x:v>
      </x:c>
      <x:c r="H26" s="4"/>
      <x:c r="I26" s="5" t="n">
        <x:f>G26+IF(H26="",0,H26)</x:f>
        <x:v>24</x:v>
      </x:c>
      <x:c r="J26" s="5" t="n">
        <x:f>VLOOKUP(A26,'01_Hero_Base'!$A$5:$N$12,5,FALSE)</x:f>
        <x:v>3</x:v>
      </x:c>
      <x:c r="K26" s="4"/>
      <x:c r="L26" s="5" t="n">
        <x:f>MAX(1,J26+IF(K26="",0,K26))</x:f>
        <x:v>3</x:v>
      </x:c>
      <x:c r="M26" s="4" t="inlineStr">
        <x:is>
          <x:t xml:space="preserve">TBD</x:t>
        </x:is>
      </x:c>
      <x:c r="N26" s="5" t="n">
        <x:f>F26*'00_Assumptions'!$C$22+I26*'00_Assumptions'!$C$23+('00_Assumptions'!$C$5-L26)*'00_Assumptions'!$C$24</x:f>
        <x:v>23.8</x:v>
      </x:c>
      <x:c r="O26" s="6" t="inlineStr">
        <x:is>
          <x:t xml:space="preserve">待设计：填入本等级的成长或技能强化。</x:t>
        </x:is>
      </x:c>
    </x:row>
    <x:row r="27">
      <x:c r="A27" t="inlineStr">
        <x:is>
          <x:t xml:space="preserve">knight</x:t>
        </x:is>
      </x:c>
      <x:c r="B27" t="inlineStr">
        <x:is>
          <x:t xml:space="preserve">騎士</x:t>
        </x:is>
      </x:c>
      <x:c r="C27" s="8">
        <x:v>3</x:v>
      </x:c>
      <x:c r="D27" s="5" t="n">
        <x:f>VLOOKUP(A27,'01_Hero_Base'!$A$5:$N$12,6,FALSE)</x:f>
        <x:v>3</x:v>
      </x:c>
      <x:c r="E27" s="4"/>
      <x:c r="F27" s="5" t="n">
        <x:f>D27+IF(E27="",0,E27)</x:f>
        <x:v>3</x:v>
      </x:c>
      <x:c r="G27" s="5" t="n">
        <x:f>VLOOKUP(A27,'01_Hero_Base'!$A$5:$N$12,7,FALSE)</x:f>
        <x:v>24</x:v>
      </x:c>
      <x:c r="H27" s="4"/>
      <x:c r="I27" s="5" t="n">
        <x:f>G27+IF(H27="",0,H27)</x:f>
        <x:v>24</x:v>
      </x:c>
      <x:c r="J27" s="5" t="n">
        <x:f>VLOOKUP(A27,'01_Hero_Base'!$A$5:$N$12,5,FALSE)</x:f>
        <x:v>3</x:v>
      </x:c>
      <x:c r="K27" s="4"/>
      <x:c r="L27" s="5" t="n">
        <x:f>MAX(1,J27+IF(K27="",0,K27))</x:f>
        <x:v>3</x:v>
      </x:c>
      <x:c r="M27" s="4" t="inlineStr">
        <x:is>
          <x:t xml:space="preserve">TBD</x:t>
        </x:is>
      </x:c>
      <x:c r="N27" s="5" t="n">
        <x:f>F27*'00_Assumptions'!$C$22+I27*'00_Assumptions'!$C$23+('00_Assumptions'!$C$5-L27)*'00_Assumptions'!$C$24</x:f>
        <x:v>23.8</x:v>
      </x:c>
      <x:c r="O27" s="6" t="inlineStr">
        <x:is>
          <x:t xml:space="preserve">待设计：填入本等级的成长或技能强化。</x:t>
        </x:is>
      </x:c>
    </x:row>
    <x:row r="28">
      <x:c r="A28" t="inlineStr">
        <x:is>
          <x:t xml:space="preserve">knight</x:t>
        </x:is>
      </x:c>
      <x:c r="B28" t="inlineStr">
        <x:is>
          <x:t xml:space="preserve">騎士</x:t>
        </x:is>
      </x:c>
      <x:c r="C28" s="8">
        <x:v>4</x:v>
      </x:c>
      <x:c r="D28" s="5" t="n">
        <x:f>VLOOKUP(A28,'01_Hero_Base'!$A$5:$N$12,6,FALSE)</x:f>
        <x:v>3</x:v>
      </x:c>
      <x:c r="E28" s="4"/>
      <x:c r="F28" s="5" t="n">
        <x:f>D28+IF(E28="",0,E28)</x:f>
        <x:v>3</x:v>
      </x:c>
      <x:c r="G28" s="5" t="n">
        <x:f>VLOOKUP(A28,'01_Hero_Base'!$A$5:$N$12,7,FALSE)</x:f>
        <x:v>24</x:v>
      </x:c>
      <x:c r="H28" s="4"/>
      <x:c r="I28" s="5" t="n">
        <x:f>G28+IF(H28="",0,H28)</x:f>
        <x:v>24</x:v>
      </x:c>
      <x:c r="J28" s="5" t="n">
        <x:f>VLOOKUP(A28,'01_Hero_Base'!$A$5:$N$12,5,FALSE)</x:f>
        <x:v>3</x:v>
      </x:c>
      <x:c r="K28" s="4"/>
      <x:c r="L28" s="5" t="n">
        <x:f>MAX(1,J28+IF(K28="",0,K28))</x:f>
        <x:v>3</x:v>
      </x:c>
      <x:c r="M28" s="4" t="inlineStr">
        <x:is>
          <x:t xml:space="preserve">TBD</x:t>
        </x:is>
      </x:c>
      <x:c r="N28" s="5" t="n">
        <x:f>F28*'00_Assumptions'!$C$22+I28*'00_Assumptions'!$C$23+('00_Assumptions'!$C$5-L28)*'00_Assumptions'!$C$24</x:f>
        <x:v>23.8</x:v>
      </x:c>
      <x:c r="O28" s="6" t="inlineStr">
        <x:is>
          <x:t xml:space="preserve">待设计：填入本等级的成长或技能强化。</x:t>
        </x:is>
      </x:c>
    </x:row>
    <x:row r="29">
      <x:c r="A29" t="inlineStr">
        <x:is>
          <x:t xml:space="preserve">knight</x:t>
        </x:is>
      </x:c>
      <x:c r="B29" t="inlineStr">
        <x:is>
          <x:t xml:space="preserve">騎士</x:t>
        </x:is>
      </x:c>
      <x:c r="C29" s="8">
        <x:v>5</x:v>
      </x:c>
      <x:c r="D29" s="5" t="n">
        <x:f>VLOOKUP(A29,'01_Hero_Base'!$A$5:$N$12,6,FALSE)</x:f>
        <x:v>3</x:v>
      </x:c>
      <x:c r="E29" s="4"/>
      <x:c r="F29" s="5" t="n">
        <x:f>D29+IF(E29="",0,E29)</x:f>
        <x:v>3</x:v>
      </x:c>
      <x:c r="G29" s="5" t="n">
        <x:f>VLOOKUP(A29,'01_Hero_Base'!$A$5:$N$12,7,FALSE)</x:f>
        <x:v>24</x:v>
      </x:c>
      <x:c r="H29" s="4"/>
      <x:c r="I29" s="5" t="n">
        <x:f>G29+IF(H29="",0,H29)</x:f>
        <x:v>24</x:v>
      </x:c>
      <x:c r="J29" s="5" t="n">
        <x:f>VLOOKUP(A29,'01_Hero_Base'!$A$5:$N$12,5,FALSE)</x:f>
        <x:v>3</x:v>
      </x:c>
      <x:c r="K29" s="4"/>
      <x:c r="L29" s="5" t="n">
        <x:f>MAX(1,J29+IF(K29="",0,K29))</x:f>
        <x:v>3</x:v>
      </x:c>
      <x:c r="M29" s="4" t="inlineStr">
        <x:is>
          <x:t xml:space="preserve">TBD</x:t>
        </x:is>
      </x:c>
      <x:c r="N29" s="5" t="n">
        <x:f>F29*'00_Assumptions'!$C$22+I29*'00_Assumptions'!$C$23+('00_Assumptions'!$C$5-L29)*'00_Assumptions'!$C$24</x:f>
        <x:v>23.8</x:v>
      </x:c>
      <x:c r="O29" s="6" t="inlineStr">
        <x:is>
          <x:t xml:space="preserve">待设计：填入本等级的成长或技能强化。</x:t>
        </x:is>
      </x:c>
    </x:row>
    <x:row r="30">
      <x:c r="A30" t="inlineStr">
        <x:is>
          <x:t xml:space="preserve">druid</x:t>
        </x:is>
      </x:c>
      <x:c r="B30" t="inlineStr">
        <x:is>
          <x:t xml:space="preserve">ドルイド</x:t>
        </x:is>
      </x:c>
      <x:c r="C30" s="8">
        <x:v>1</x:v>
      </x:c>
      <x:c r="D30" s="5" t="n">
        <x:f>VLOOKUP(A30,'01_Hero_Base'!$A$5:$N$12,6,FALSE)</x:f>
        <x:v>1</x:v>
      </x:c>
      <x:c r="E30" s="4">
        <x:v>0</x:v>
      </x:c>
      <x:c r="F30" s="5" t="n">
        <x:f>D30+IF(E30="",0,E30)</x:f>
        <x:v>1</x:v>
      </x:c>
      <x:c r="G30" s="5" t="n">
        <x:f>VLOOKUP(A30,'01_Hero_Base'!$A$5:$N$12,7,FALSE)</x:f>
        <x:v>16</x:v>
      </x:c>
      <x:c r="H30" s="4">
        <x:v>0</x:v>
      </x:c>
      <x:c r="I30" s="5" t="n">
        <x:f>G30+IF(H30="",0,H30)</x:f>
        <x:v>16</x:v>
      </x:c>
      <x:c r="J30" s="5" t="n">
        <x:f>VLOOKUP(A30,'01_Hero_Base'!$A$5:$N$12,5,FALSE)</x:f>
        <x:v>1</x:v>
      </x:c>
      <x:c r="K30" s="4">
        <x:v>0</x:v>
      </x:c>
      <x:c r="L30" s="5" t="n">
        <x:f>MAX(1,J30+IF(K30="",0,K30))</x:f>
        <x:v>1</x:v>
      </x:c>
      <x:c r="M30" s="4"/>
      <x:c r="N30" s="5" t="n">
        <x:f>F30*'00_Assumptions'!$C$22+I30*'00_Assumptions'!$C$23+('00_Assumptions'!$C$5-L30)*'00_Assumptions'!$C$24</x:f>
        <x:v>18.2</x:v>
      </x:c>
      <x:c r="O30" s="6" t="inlineStr">
        <x:is>
          <x:t xml:space="preserve">现行基础值。</x:t>
        </x:is>
      </x:c>
    </x:row>
    <x:row r="31">
      <x:c r="A31" t="inlineStr">
        <x:is>
          <x:t xml:space="preserve">druid</x:t>
        </x:is>
      </x:c>
      <x:c r="B31" t="inlineStr">
        <x:is>
          <x:t xml:space="preserve">ドルイド</x:t>
        </x:is>
      </x:c>
      <x:c r="C31" s="8">
        <x:v>2</x:v>
      </x:c>
      <x:c r="D31" s="5" t="n">
        <x:f>VLOOKUP(A31,'01_Hero_Base'!$A$5:$N$12,6,FALSE)</x:f>
        <x:v>1</x:v>
      </x:c>
      <x:c r="E31" s="4"/>
      <x:c r="F31" s="5" t="n">
        <x:f>D31+IF(E31="",0,E31)</x:f>
        <x:v>1</x:v>
      </x:c>
      <x:c r="G31" s="5" t="n">
        <x:f>VLOOKUP(A31,'01_Hero_Base'!$A$5:$N$12,7,FALSE)</x:f>
        <x:v>16</x:v>
      </x:c>
      <x:c r="H31" s="4"/>
      <x:c r="I31" s="5" t="n">
        <x:f>G31+IF(H31="",0,H31)</x:f>
        <x:v>16</x:v>
      </x:c>
      <x:c r="J31" s="5" t="n">
        <x:f>VLOOKUP(A31,'01_Hero_Base'!$A$5:$N$12,5,FALSE)</x:f>
        <x:v>1</x:v>
      </x:c>
      <x:c r="K31" s="4"/>
      <x:c r="L31" s="5" t="n">
        <x:f>MAX(1,J31+IF(K31="",0,K31))</x:f>
        <x:v>1</x:v>
      </x:c>
      <x:c r="M31" s="4" t="inlineStr">
        <x:is>
          <x:t xml:space="preserve">TBD</x:t>
        </x:is>
      </x:c>
      <x:c r="N31" s="5" t="n">
        <x:f>F31*'00_Assumptions'!$C$22+I31*'00_Assumptions'!$C$23+('00_Assumptions'!$C$5-L31)*'00_Assumptions'!$C$24</x:f>
        <x:v>18.2</x:v>
      </x:c>
      <x:c r="O31" s="6" t="inlineStr">
        <x:is>
          <x:t xml:space="preserve">待设计：填入本等级的成长或技能强化。</x:t>
        </x:is>
      </x:c>
    </x:row>
    <x:row r="32">
      <x:c r="A32" t="inlineStr">
        <x:is>
          <x:t xml:space="preserve">druid</x:t>
        </x:is>
      </x:c>
      <x:c r="B32" t="inlineStr">
        <x:is>
          <x:t xml:space="preserve">ドルイド</x:t>
        </x:is>
      </x:c>
      <x:c r="C32" s="8">
        <x:v>3</x:v>
      </x:c>
      <x:c r="D32" s="5" t="n">
        <x:f>VLOOKUP(A32,'01_Hero_Base'!$A$5:$N$12,6,FALSE)</x:f>
        <x:v>1</x:v>
      </x:c>
      <x:c r="E32" s="4"/>
      <x:c r="F32" s="5" t="n">
        <x:f>D32+IF(E32="",0,E32)</x:f>
        <x:v>1</x:v>
      </x:c>
      <x:c r="G32" s="5" t="n">
        <x:f>VLOOKUP(A32,'01_Hero_Base'!$A$5:$N$12,7,FALSE)</x:f>
        <x:v>16</x:v>
      </x:c>
      <x:c r="H32" s="4"/>
      <x:c r="I32" s="5" t="n">
        <x:f>G32+IF(H32="",0,H32)</x:f>
        <x:v>16</x:v>
      </x:c>
      <x:c r="J32" s="5" t="n">
        <x:f>VLOOKUP(A32,'01_Hero_Base'!$A$5:$N$12,5,FALSE)</x:f>
        <x:v>1</x:v>
      </x:c>
      <x:c r="K32" s="4"/>
      <x:c r="L32" s="5" t="n">
        <x:f>MAX(1,J32+IF(K32="",0,K32))</x:f>
        <x:v>1</x:v>
      </x:c>
      <x:c r="M32" s="4" t="inlineStr">
        <x:is>
          <x:t xml:space="preserve">TBD</x:t>
        </x:is>
      </x:c>
      <x:c r="N32" s="5" t="n">
        <x:f>F32*'00_Assumptions'!$C$22+I32*'00_Assumptions'!$C$23+('00_Assumptions'!$C$5-L32)*'00_Assumptions'!$C$24</x:f>
        <x:v>18.2</x:v>
      </x:c>
      <x:c r="O32" s="6" t="inlineStr">
        <x:is>
          <x:t xml:space="preserve">待设计：填入本等级的成长或技能强化。</x:t>
        </x:is>
      </x:c>
    </x:row>
    <x:row r="33">
      <x:c r="A33" t="inlineStr">
        <x:is>
          <x:t xml:space="preserve">druid</x:t>
        </x:is>
      </x:c>
      <x:c r="B33" t="inlineStr">
        <x:is>
          <x:t xml:space="preserve">ドルイド</x:t>
        </x:is>
      </x:c>
      <x:c r="C33" s="8">
        <x:v>4</x:v>
      </x:c>
      <x:c r="D33" s="5" t="n">
        <x:f>VLOOKUP(A33,'01_Hero_Base'!$A$5:$N$12,6,FALSE)</x:f>
        <x:v>1</x:v>
      </x:c>
      <x:c r="E33" s="4"/>
      <x:c r="F33" s="5" t="n">
        <x:f>D33+IF(E33="",0,E33)</x:f>
        <x:v>1</x:v>
      </x:c>
      <x:c r="G33" s="5" t="n">
        <x:f>VLOOKUP(A33,'01_Hero_Base'!$A$5:$N$12,7,FALSE)</x:f>
        <x:v>16</x:v>
      </x:c>
      <x:c r="H33" s="4"/>
      <x:c r="I33" s="5" t="n">
        <x:f>G33+IF(H33="",0,H33)</x:f>
        <x:v>16</x:v>
      </x:c>
      <x:c r="J33" s="5" t="n">
        <x:f>VLOOKUP(A33,'01_Hero_Base'!$A$5:$N$12,5,FALSE)</x:f>
        <x:v>1</x:v>
      </x:c>
      <x:c r="K33" s="4"/>
      <x:c r="L33" s="5" t="n">
        <x:f>MAX(1,J33+IF(K33="",0,K33))</x:f>
        <x:v>1</x:v>
      </x:c>
      <x:c r="M33" s="4" t="inlineStr">
        <x:is>
          <x:t xml:space="preserve">TBD</x:t>
        </x:is>
      </x:c>
      <x:c r="N33" s="5" t="n">
        <x:f>F33*'00_Assumptions'!$C$22+I33*'00_Assumptions'!$C$23+('00_Assumptions'!$C$5-L33)*'00_Assumptions'!$C$24</x:f>
        <x:v>18.2</x:v>
      </x:c>
      <x:c r="O33" s="6" t="inlineStr">
        <x:is>
          <x:t xml:space="preserve">待设计：填入本等级的成长或技能强化。</x:t>
        </x:is>
      </x:c>
    </x:row>
    <x:row r="34">
      <x:c r="A34" t="inlineStr">
        <x:is>
          <x:t xml:space="preserve">druid</x:t>
        </x:is>
      </x:c>
      <x:c r="B34" t="inlineStr">
        <x:is>
          <x:t xml:space="preserve">ドルイド</x:t>
        </x:is>
      </x:c>
      <x:c r="C34" s="8">
        <x:v>5</x:v>
      </x:c>
      <x:c r="D34" s="5" t="n">
        <x:f>VLOOKUP(A34,'01_Hero_Base'!$A$5:$N$12,6,FALSE)</x:f>
        <x:v>1</x:v>
      </x:c>
      <x:c r="E34" s="4"/>
      <x:c r="F34" s="5" t="n">
        <x:f>D34+IF(E34="",0,E34)</x:f>
        <x:v>1</x:v>
      </x:c>
      <x:c r="G34" s="5" t="n">
        <x:f>VLOOKUP(A34,'01_Hero_Base'!$A$5:$N$12,7,FALSE)</x:f>
        <x:v>16</x:v>
      </x:c>
      <x:c r="H34" s="4"/>
      <x:c r="I34" s="5" t="n">
        <x:f>G34+IF(H34="",0,H34)</x:f>
        <x:v>16</x:v>
      </x:c>
      <x:c r="J34" s="5" t="n">
        <x:f>VLOOKUP(A34,'01_Hero_Base'!$A$5:$N$12,5,FALSE)</x:f>
        <x:v>1</x:v>
      </x:c>
      <x:c r="K34" s="4"/>
      <x:c r="L34" s="5" t="n">
        <x:f>MAX(1,J34+IF(K34="",0,K34))</x:f>
        <x:v>1</x:v>
      </x:c>
      <x:c r="M34" s="4" t="inlineStr">
        <x:is>
          <x:t xml:space="preserve">TBD</x:t>
        </x:is>
      </x:c>
      <x:c r="N34" s="5" t="n">
        <x:f>F34*'00_Assumptions'!$C$22+I34*'00_Assumptions'!$C$23+('00_Assumptions'!$C$5-L34)*'00_Assumptions'!$C$24</x:f>
        <x:v>18.2</x:v>
      </x:c>
      <x:c r="O34" s="6" t="inlineStr">
        <x:is>
          <x:t xml:space="preserve">待设计：填入本等级的成长或技能强化。</x:t>
        </x:is>
      </x:c>
    </x:row>
    <x:row r="35">
      <x:c r="A35" t="inlineStr">
        <x:is>
          <x:t xml:space="preserve">barbarian</x:t>
        </x:is>
      </x:c>
      <x:c r="B35" t="inlineStr">
        <x:is>
          <x:t xml:space="preserve">バーバリアン</x:t>
        </x:is>
      </x:c>
      <x:c r="C35" s="8">
        <x:v>1</x:v>
      </x:c>
      <x:c r="D35" s="5" t="n">
        <x:f>VLOOKUP(A35,'01_Hero_Base'!$A$5:$N$12,6,FALSE)</x:f>
        <x:v>4</x:v>
      </x:c>
      <x:c r="E35" s="4">
        <x:v>0</x:v>
      </x:c>
      <x:c r="F35" s="5" t="n">
        <x:f>D35+IF(E35="",0,E35)</x:f>
        <x:v>4</x:v>
      </x:c>
      <x:c r="G35" s="5" t="n">
        <x:f>VLOOKUP(A35,'01_Hero_Base'!$A$5:$N$12,7,FALSE)</x:f>
        <x:v>18</x:v>
      </x:c>
      <x:c r="H35" s="4">
        <x:v>0</x:v>
      </x:c>
      <x:c r="I35" s="5" t="n">
        <x:f>G35+IF(H35="",0,H35)</x:f>
        <x:v>18</x:v>
      </x:c>
      <x:c r="J35" s="5" t="n">
        <x:f>VLOOKUP(A35,'01_Hero_Base'!$A$5:$N$12,5,FALSE)</x:f>
        <x:v>2</x:v>
      </x:c>
      <x:c r="K35" s="4">
        <x:v>0</x:v>
      </x:c>
      <x:c r="L35" s="5" t="n">
        <x:f>MAX(1,J35+IF(K35="",0,K35))</x:f>
        <x:v>2</x:v>
      </x:c>
      <x:c r="M35" s="4"/>
      <x:c r="N35" s="5" t="n">
        <x:f>F35*'00_Assumptions'!$C$22+I35*'00_Assumptions'!$C$23+('00_Assumptions'!$C$5-L35)*'00_Assumptions'!$C$24</x:f>
        <x:v>26.1</x:v>
      </x:c>
      <x:c r="O35" s="6" t="inlineStr">
        <x:is>
          <x:t xml:space="preserve">现行基础值。</x:t>
        </x:is>
      </x:c>
    </x:row>
    <x:row r="36">
      <x:c r="A36" t="inlineStr">
        <x:is>
          <x:t xml:space="preserve">barbarian</x:t>
        </x:is>
      </x:c>
      <x:c r="B36" t="inlineStr">
        <x:is>
          <x:t xml:space="preserve">バーバリアン</x:t>
        </x:is>
      </x:c>
      <x:c r="C36" s="8">
        <x:v>2</x:v>
      </x:c>
      <x:c r="D36" s="5" t="n">
        <x:f>VLOOKUP(A36,'01_Hero_Base'!$A$5:$N$12,6,FALSE)</x:f>
        <x:v>4</x:v>
      </x:c>
      <x:c r="E36" s="4"/>
      <x:c r="F36" s="5" t="n">
        <x:f>D36+IF(E36="",0,E36)</x:f>
        <x:v>4</x:v>
      </x:c>
      <x:c r="G36" s="5" t="n">
        <x:f>VLOOKUP(A36,'01_Hero_Base'!$A$5:$N$12,7,FALSE)</x:f>
        <x:v>18</x:v>
      </x:c>
      <x:c r="H36" s="4"/>
      <x:c r="I36" s="5" t="n">
        <x:f>G36+IF(H36="",0,H36)</x:f>
        <x:v>18</x:v>
      </x:c>
      <x:c r="J36" s="5" t="n">
        <x:f>VLOOKUP(A36,'01_Hero_Base'!$A$5:$N$12,5,FALSE)</x:f>
        <x:v>2</x:v>
      </x:c>
      <x:c r="K36" s="4"/>
      <x:c r="L36" s="5" t="n">
        <x:f>MAX(1,J36+IF(K36="",0,K36))</x:f>
        <x:v>2</x:v>
      </x:c>
      <x:c r="M36" s="4" t="inlineStr">
        <x:is>
          <x:t xml:space="preserve">TBD</x:t>
        </x:is>
      </x:c>
      <x:c r="N36" s="5" t="n">
        <x:f>F36*'00_Assumptions'!$C$22+I36*'00_Assumptions'!$C$23+('00_Assumptions'!$C$5-L36)*'00_Assumptions'!$C$24</x:f>
        <x:v>26.1</x:v>
      </x:c>
      <x:c r="O36" s="6" t="inlineStr">
        <x:is>
          <x:t xml:space="preserve">待设计：填入本等级的成长或技能强化。</x:t>
        </x:is>
      </x:c>
    </x:row>
    <x:row r="37">
      <x:c r="A37" t="inlineStr">
        <x:is>
          <x:t xml:space="preserve">barbarian</x:t>
        </x:is>
      </x:c>
      <x:c r="B37" t="inlineStr">
        <x:is>
          <x:t xml:space="preserve">バーバリアン</x:t>
        </x:is>
      </x:c>
      <x:c r="C37" s="8">
        <x:v>3</x:v>
      </x:c>
      <x:c r="D37" s="5" t="n">
        <x:f>VLOOKUP(A37,'01_Hero_Base'!$A$5:$N$12,6,FALSE)</x:f>
        <x:v>4</x:v>
      </x:c>
      <x:c r="E37" s="4"/>
      <x:c r="F37" s="5" t="n">
        <x:f>D37+IF(E37="",0,E37)</x:f>
        <x:v>4</x:v>
      </x:c>
      <x:c r="G37" s="5" t="n">
        <x:f>VLOOKUP(A37,'01_Hero_Base'!$A$5:$N$12,7,FALSE)</x:f>
        <x:v>18</x:v>
      </x:c>
      <x:c r="H37" s="4"/>
      <x:c r="I37" s="5" t="n">
        <x:f>G37+IF(H37="",0,H37)</x:f>
        <x:v>18</x:v>
      </x:c>
      <x:c r="J37" s="5" t="n">
        <x:f>VLOOKUP(A37,'01_Hero_Base'!$A$5:$N$12,5,FALSE)</x:f>
        <x:v>2</x:v>
      </x:c>
      <x:c r="K37" s="4"/>
      <x:c r="L37" s="5" t="n">
        <x:f>MAX(1,J37+IF(K37="",0,K37))</x:f>
        <x:v>2</x:v>
      </x:c>
      <x:c r="M37" s="4" t="inlineStr">
        <x:is>
          <x:t xml:space="preserve">TBD</x:t>
        </x:is>
      </x:c>
      <x:c r="N37" s="5" t="n">
        <x:f>F37*'00_Assumptions'!$C$22+I37*'00_Assumptions'!$C$23+('00_Assumptions'!$C$5-L37)*'00_Assumptions'!$C$24</x:f>
        <x:v>26.1</x:v>
      </x:c>
      <x:c r="O37" s="6" t="inlineStr">
        <x:is>
          <x:t xml:space="preserve">待设计：填入本等级的成长或技能强化。</x:t>
        </x:is>
      </x:c>
    </x:row>
    <x:row r="38">
      <x:c r="A38" t="inlineStr">
        <x:is>
          <x:t xml:space="preserve">barbarian</x:t>
        </x:is>
      </x:c>
      <x:c r="B38" t="inlineStr">
        <x:is>
          <x:t xml:space="preserve">バーバリアン</x:t>
        </x:is>
      </x:c>
      <x:c r="C38" s="8">
        <x:v>4</x:v>
      </x:c>
      <x:c r="D38" s="5" t="n">
        <x:f>VLOOKUP(A38,'01_Hero_Base'!$A$5:$N$12,6,FALSE)</x:f>
        <x:v>4</x:v>
      </x:c>
      <x:c r="E38" s="4"/>
      <x:c r="F38" s="5" t="n">
        <x:f>D38+IF(E38="",0,E38)</x:f>
        <x:v>4</x:v>
      </x:c>
      <x:c r="G38" s="5" t="n">
        <x:f>VLOOKUP(A38,'01_Hero_Base'!$A$5:$N$12,7,FALSE)</x:f>
        <x:v>18</x:v>
      </x:c>
      <x:c r="H38" s="4"/>
      <x:c r="I38" s="5" t="n">
        <x:f>G38+IF(H38="",0,H38)</x:f>
        <x:v>18</x:v>
      </x:c>
      <x:c r="J38" s="5" t="n">
        <x:f>VLOOKUP(A38,'01_Hero_Base'!$A$5:$N$12,5,FALSE)</x:f>
        <x:v>2</x:v>
      </x:c>
      <x:c r="K38" s="4"/>
      <x:c r="L38" s="5" t="n">
        <x:f>MAX(1,J38+IF(K38="",0,K38))</x:f>
        <x:v>2</x:v>
      </x:c>
      <x:c r="M38" s="4" t="inlineStr">
        <x:is>
          <x:t xml:space="preserve">TBD</x:t>
        </x:is>
      </x:c>
      <x:c r="N38" s="5" t="n">
        <x:f>F38*'00_Assumptions'!$C$22+I38*'00_Assumptions'!$C$23+('00_Assumptions'!$C$5-L38)*'00_Assumptions'!$C$24</x:f>
        <x:v>26.1</x:v>
      </x:c>
      <x:c r="O38" s="6" t="inlineStr">
        <x:is>
          <x:t xml:space="preserve">待设计：填入本等级的成长或技能强化。</x:t>
        </x:is>
      </x:c>
    </x:row>
    <x:row r="39">
      <x:c r="A39" t="inlineStr">
        <x:is>
          <x:t xml:space="preserve">barbarian</x:t>
        </x:is>
      </x:c>
      <x:c r="B39" t="inlineStr">
        <x:is>
          <x:t xml:space="preserve">バーバリアン</x:t>
        </x:is>
      </x:c>
      <x:c r="C39" s="8">
        <x:v>5</x:v>
      </x:c>
      <x:c r="D39" s="5" t="n">
        <x:f>VLOOKUP(A39,'01_Hero_Base'!$A$5:$N$12,6,FALSE)</x:f>
        <x:v>4</x:v>
      </x:c>
      <x:c r="E39" s="4"/>
      <x:c r="F39" s="5" t="n">
        <x:f>D39+IF(E39="",0,E39)</x:f>
        <x:v>4</x:v>
      </x:c>
      <x:c r="G39" s="5" t="n">
        <x:f>VLOOKUP(A39,'01_Hero_Base'!$A$5:$N$12,7,FALSE)</x:f>
        <x:v>18</x:v>
      </x:c>
      <x:c r="H39" s="4"/>
      <x:c r="I39" s="5" t="n">
        <x:f>G39+IF(H39="",0,H39)</x:f>
        <x:v>18</x:v>
      </x:c>
      <x:c r="J39" s="5" t="n">
        <x:f>VLOOKUP(A39,'01_Hero_Base'!$A$5:$N$12,5,FALSE)</x:f>
        <x:v>2</x:v>
      </x:c>
      <x:c r="K39" s="4"/>
      <x:c r="L39" s="5" t="n">
        <x:f>MAX(1,J39+IF(K39="",0,K39))</x:f>
        <x:v>2</x:v>
      </x:c>
      <x:c r="M39" s="4" t="inlineStr">
        <x:is>
          <x:t xml:space="preserve">TBD</x:t>
        </x:is>
      </x:c>
      <x:c r="N39" s="5" t="n">
        <x:f>F39*'00_Assumptions'!$C$22+I39*'00_Assumptions'!$C$23+('00_Assumptions'!$C$5-L39)*'00_Assumptions'!$C$24</x:f>
        <x:v>26.1</x:v>
      </x:c>
      <x:c r="O39" s="6" t="inlineStr">
        <x:is>
          <x:t xml:space="preserve">待设计：填入本等级的成长或技能强化。</x:t>
        </x:is>
      </x:c>
    </x:row>
    <x:row r="40">
      <x:c r="A40" t="inlineStr">
        <x:is>
          <x:t xml:space="preserve">monster</x:t>
        </x:is>
      </x:c>
      <x:c r="B40" t="inlineStr">
        <x:is>
          <x:t xml:space="preserve">モンスター</x:t>
        </x:is>
      </x:c>
      <x:c r="C40" s="8">
        <x:v>1</x:v>
      </x:c>
      <x:c r="D40" s="5" t="n">
        <x:f>VLOOKUP(A40,'01_Hero_Base'!$A$5:$N$12,6,FALSE)</x:f>
        <x:v>3</x:v>
      </x:c>
      <x:c r="E40" s="4">
        <x:v>0</x:v>
      </x:c>
      <x:c r="F40" s="5" t="n">
        <x:f>D40+IF(E40="",0,E40)</x:f>
        <x:v>3</x:v>
      </x:c>
      <x:c r="G40" s="5" t="n">
        <x:f>VLOOKUP(A40,'01_Hero_Base'!$A$5:$N$12,7,FALSE)</x:f>
        <x:v>22</x:v>
      </x:c>
      <x:c r="H40" s="4">
        <x:v>0</x:v>
      </x:c>
      <x:c r="I40" s="5" t="n">
        <x:f>G40+IF(H40="",0,H40)</x:f>
        <x:v>22</x:v>
      </x:c>
      <x:c r="J40" s="5" t="n">
        <x:f>VLOOKUP(A40,'01_Hero_Base'!$A$5:$N$12,5,FALSE)</x:f>
        <x:v>3</x:v>
      </x:c>
      <x:c r="K40" s="4">
        <x:v>0</x:v>
      </x:c>
      <x:c r="L40" s="5" t="n">
        <x:f>MAX(1,J40+IF(K40="",0,K40))</x:f>
        <x:v>3</x:v>
      </x:c>
      <x:c r="M40" s="4"/>
      <x:c r="N40" s="5" t="n">
        <x:f>F40*'00_Assumptions'!$C$22+I40*'00_Assumptions'!$C$23+('00_Assumptions'!$C$5-L40)*'00_Assumptions'!$C$24</x:f>
        <x:v>22.9</x:v>
      </x:c>
      <x:c r="O40" s="6" t="inlineStr">
        <x:is>
          <x:t xml:space="preserve">现行基础值。</x:t>
        </x:is>
      </x:c>
    </x:row>
    <x:row r="41">
      <x:c r="A41" t="inlineStr">
        <x:is>
          <x:t xml:space="preserve">monster</x:t>
        </x:is>
      </x:c>
      <x:c r="B41" t="inlineStr">
        <x:is>
          <x:t xml:space="preserve">モンスター</x:t>
        </x:is>
      </x:c>
      <x:c r="C41" s="8">
        <x:v>2</x:v>
      </x:c>
      <x:c r="D41" s="5" t="n">
        <x:f>VLOOKUP(A41,'01_Hero_Base'!$A$5:$N$12,6,FALSE)</x:f>
        <x:v>3</x:v>
      </x:c>
      <x:c r="E41" s="4"/>
      <x:c r="F41" s="5" t="n">
        <x:f>D41+IF(E41="",0,E41)</x:f>
        <x:v>3</x:v>
      </x:c>
      <x:c r="G41" s="5" t="n">
        <x:f>VLOOKUP(A41,'01_Hero_Base'!$A$5:$N$12,7,FALSE)</x:f>
        <x:v>22</x:v>
      </x:c>
      <x:c r="H41" s="4"/>
      <x:c r="I41" s="5" t="n">
        <x:f>G41+IF(H41="",0,H41)</x:f>
        <x:v>22</x:v>
      </x:c>
      <x:c r="J41" s="5" t="n">
        <x:f>VLOOKUP(A41,'01_Hero_Base'!$A$5:$N$12,5,FALSE)</x:f>
        <x:v>3</x:v>
      </x:c>
      <x:c r="K41" s="4"/>
      <x:c r="L41" s="5" t="n">
        <x:f>MAX(1,J41+IF(K41="",0,K41))</x:f>
        <x:v>3</x:v>
      </x:c>
      <x:c r="M41" s="4" t="inlineStr">
        <x:is>
          <x:t xml:space="preserve">TBD</x:t>
        </x:is>
      </x:c>
      <x:c r="N41" s="5" t="n">
        <x:f>F41*'00_Assumptions'!$C$22+I41*'00_Assumptions'!$C$23+('00_Assumptions'!$C$5-L41)*'00_Assumptions'!$C$24</x:f>
        <x:v>22.9</x:v>
      </x:c>
      <x:c r="O41" s="6" t="inlineStr">
        <x:is>
          <x:t xml:space="preserve">待设计：填入本等级的成长或技能强化。</x:t>
        </x:is>
      </x:c>
    </x:row>
    <x:row r="42">
      <x:c r="A42" t="inlineStr">
        <x:is>
          <x:t xml:space="preserve">monster</x:t>
        </x:is>
      </x:c>
      <x:c r="B42" t="inlineStr">
        <x:is>
          <x:t xml:space="preserve">モンスター</x:t>
        </x:is>
      </x:c>
      <x:c r="C42" s="8">
        <x:v>3</x:v>
      </x:c>
      <x:c r="D42" s="5" t="n">
        <x:f>VLOOKUP(A42,'01_Hero_Base'!$A$5:$N$12,6,FALSE)</x:f>
        <x:v>3</x:v>
      </x:c>
      <x:c r="E42" s="4"/>
      <x:c r="F42" s="5" t="n">
        <x:f>D42+IF(E42="",0,E42)</x:f>
        <x:v>3</x:v>
      </x:c>
      <x:c r="G42" s="5" t="n">
        <x:f>VLOOKUP(A42,'01_Hero_Base'!$A$5:$N$12,7,FALSE)</x:f>
        <x:v>22</x:v>
      </x:c>
      <x:c r="H42" s="4"/>
      <x:c r="I42" s="5" t="n">
        <x:f>G42+IF(H42="",0,H42)</x:f>
        <x:v>22</x:v>
      </x:c>
      <x:c r="J42" s="5" t="n">
        <x:f>VLOOKUP(A42,'01_Hero_Base'!$A$5:$N$12,5,FALSE)</x:f>
        <x:v>3</x:v>
      </x:c>
      <x:c r="K42" s="4"/>
      <x:c r="L42" s="5" t="n">
        <x:f>MAX(1,J42+IF(K42="",0,K42))</x:f>
        <x:v>3</x:v>
      </x:c>
      <x:c r="M42" s="4" t="inlineStr">
        <x:is>
          <x:t xml:space="preserve">TBD</x:t>
        </x:is>
      </x:c>
      <x:c r="N42" s="5" t="n">
        <x:f>F42*'00_Assumptions'!$C$22+I42*'00_Assumptions'!$C$23+('00_Assumptions'!$C$5-L42)*'00_Assumptions'!$C$24</x:f>
        <x:v>22.9</x:v>
      </x:c>
      <x:c r="O42" s="6" t="inlineStr">
        <x:is>
          <x:t xml:space="preserve">待设计：填入本等级的成长或技能强化。</x:t>
        </x:is>
      </x:c>
    </x:row>
    <x:row r="43">
      <x:c r="A43" t="inlineStr">
        <x:is>
          <x:t xml:space="preserve">monster</x:t>
        </x:is>
      </x:c>
      <x:c r="B43" t="inlineStr">
        <x:is>
          <x:t xml:space="preserve">モンスター</x:t>
        </x:is>
      </x:c>
      <x:c r="C43" s="8">
        <x:v>4</x:v>
      </x:c>
      <x:c r="D43" s="5" t="n">
        <x:f>VLOOKUP(A43,'01_Hero_Base'!$A$5:$N$12,6,FALSE)</x:f>
        <x:v>3</x:v>
      </x:c>
      <x:c r="E43" s="4"/>
      <x:c r="F43" s="5" t="n">
        <x:f>D43+IF(E43="",0,E43)</x:f>
        <x:v>3</x:v>
      </x:c>
      <x:c r="G43" s="5" t="n">
        <x:f>VLOOKUP(A43,'01_Hero_Base'!$A$5:$N$12,7,FALSE)</x:f>
        <x:v>22</x:v>
      </x:c>
      <x:c r="H43" s="4"/>
      <x:c r="I43" s="5" t="n">
        <x:f>G43+IF(H43="",0,H43)</x:f>
        <x:v>22</x:v>
      </x:c>
      <x:c r="J43" s="5" t="n">
        <x:f>VLOOKUP(A43,'01_Hero_Base'!$A$5:$N$12,5,FALSE)</x:f>
        <x:v>3</x:v>
      </x:c>
      <x:c r="K43" s="4"/>
      <x:c r="L43" s="5" t="n">
        <x:f>MAX(1,J43+IF(K43="",0,K43))</x:f>
        <x:v>3</x:v>
      </x:c>
      <x:c r="M43" s="4" t="inlineStr">
        <x:is>
          <x:t xml:space="preserve">TBD</x:t>
        </x:is>
      </x:c>
      <x:c r="N43" s="5" t="n">
        <x:f>F43*'00_Assumptions'!$C$22+I43*'00_Assumptions'!$C$23+('00_Assumptions'!$C$5-L43)*'00_Assumptions'!$C$24</x:f>
        <x:v>22.9</x:v>
      </x:c>
      <x:c r="O43" s="6" t="inlineStr">
        <x:is>
          <x:t xml:space="preserve">待设计：填入本等级的成长或技能强化。</x:t>
        </x:is>
      </x:c>
    </x:row>
    <x:row r="44">
      <x:c r="A44" t="inlineStr">
        <x:is>
          <x:t xml:space="preserve">monster</x:t>
        </x:is>
      </x:c>
      <x:c r="B44" t="inlineStr">
        <x:is>
          <x:t xml:space="preserve">モンスター</x:t>
        </x:is>
      </x:c>
      <x:c r="C44" s="8">
        <x:v>5</x:v>
      </x:c>
      <x:c r="D44" s="5" t="n">
        <x:f>VLOOKUP(A44,'01_Hero_Base'!$A$5:$N$12,6,FALSE)</x:f>
        <x:v>3</x:v>
      </x:c>
      <x:c r="E44" s="4"/>
      <x:c r="F44" s="5" t="n">
        <x:f>D44+IF(E44="",0,E44)</x:f>
        <x:v>3</x:v>
      </x:c>
      <x:c r="G44" s="5" t="n">
        <x:f>VLOOKUP(A44,'01_Hero_Base'!$A$5:$N$12,7,FALSE)</x:f>
        <x:v>22</x:v>
      </x:c>
      <x:c r="H44" s="4"/>
      <x:c r="I44" s="5" t="n">
        <x:f>G44+IF(H44="",0,H44)</x:f>
        <x:v>22</x:v>
      </x:c>
      <x:c r="J44" s="5" t="n">
        <x:f>VLOOKUP(A44,'01_Hero_Base'!$A$5:$N$12,5,FALSE)</x:f>
        <x:v>3</x:v>
      </x:c>
      <x:c r="K44" s="4"/>
      <x:c r="L44" s="5" t="n">
        <x:f>MAX(1,J44+IF(K44="",0,K44))</x:f>
        <x:v>3</x:v>
      </x:c>
      <x:c r="M44" s="4" t="inlineStr">
        <x:is>
          <x:t xml:space="preserve">TBD</x:t>
        </x:is>
      </x:c>
      <x:c r="N44" s="5" t="n">
        <x:f>F44*'00_Assumptions'!$C$22+I44*'00_Assumptions'!$C$23+('00_Assumptions'!$C$5-L44)*'00_Assumptions'!$C$24</x:f>
        <x:v>22.9</x:v>
      </x:c>
      <x:c r="O44" s="6" t="inlineStr">
        <x:is>
          <x:t xml:space="preserve">待设计：填入本等级的成长或技能强化。</x:t>
        </x:is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cols>
    <x:col min="1" max="1" width="16" customWidth="1"/>
    <x:col min="2" max="2" width="26" customWidth="1"/>
    <x:col min="3" max="3" width="16" customWidth="1"/>
    <x:col min="4" max="4" width="14" customWidth="1"/>
    <x:col min="5" max="5" width="10" customWidth="1"/>
    <x:col min="6" max="6" width="10" customWidth="1"/>
    <x:col min="7" max="7" width="10" customWidth="1"/>
    <x:col min="8" max="8" width="26" customWidth="1"/>
    <x:col min="9" max="9" width="44" customWidth="1"/>
    <x:col min="10" max="10" width="34" customWidth="1"/>
    <x:col min="11" max="11" width="40" customWidth="1"/>
  </x:cols>
  <x:sheetData>
    <x:row r="1" ht="24" customHeight="1">
      <x:c r="A1" s="1" t="inlineStr">
        <x:is>
          <x:t xml:space="preserve">05 Soldier &amp; Lieutenant Draft — 士兵/副官草案</x:t>
        </x:is>
      </x:c>
    </x:row>
    <x:row r="2" ht="40" customHeight="1">
      <x:c r="A2" s="2" t="inlineStr">
        <x:is>
          <x:t xml:space="preserve">未来单机爬塔用的数值起点。当前对战模式未实装士兵和副官；不要把这里的草案当成正式规则。</x:t>
        </x:is>
      </x:c>
    </x:row>
    <x:row r="3"/>
    <x:row r="4" ht="34" customHeight="1">
      <x:c r="A4" s="3" t="inlineStr">
        <x:is>
          <x:t xml:space="preserve">Type</x:t>
        </x:is>
      </x:c>
      <x:c r="B4" s="3" t="inlineStr">
        <x:is>
          <x:t xml:space="preserve">ID</x:t>
        </x:is>
      </x:c>
      <x:c r="C4" s="3" t="inlineStr">
        <x:is>
          <x:t xml:space="preserve">名称草案</x:t>
        </x:is>
      </x:c>
      <x:c r="D4" s="3" t="inlineStr">
        <x:is>
          <x:t xml:space="preserve">稀有度/系统</x:t>
        </x:is>
      </x:c>
      <x:c r="E4" s="3" t="inlineStr">
        <x:is>
          <x:t xml:space="preserve">Cost</x:t>
        </x:is>
      </x:c>
      <x:c r="F4" s="3" t="inlineStr">
        <x:is>
          <x:t xml:space="preserve">ATK</x:t>
        </x:is>
      </x:c>
      <x:c r="G4" s="3" t="inlineStr">
        <x:is>
          <x:t xml:space="preserve">HP</x:t>
        </x:is>
      </x:c>
      <x:c r="H4" s="3" t="inlineStr">
        <x:is>
          <x:t xml:space="preserve">战斗标签/特性</x:t>
        </x:is>
      </x:c>
      <x:c r="I4" s="3" t="inlineStr">
        <x:is>
          <x:t xml:space="preserve">成为副官时效果草案</x:t>
        </x:is>
      </x:c>
      <x:c r="J4" s="3" t="inlineStr">
        <x:is>
          <x:t xml:space="preserve">成长曲线草案</x:t>
        </x:is>
      </x:c>
      <x:c r="K4" s="3" t="inlineStr">
        <x:is>
          <x:t xml:space="preserve">风险</x:t>
        </x:is>
      </x:c>
    </x:row>
    <x:row r="5" ht="50" customHeight="1">
      <x:c r="A5" t="inlineStr">
        <x:is>
          <x:t xml:space="preserve">Soldier</x:t>
        </x:is>
      </x:c>
      <x:c r="B5" t="inlineStr">
        <x:is>
          <x:t xml:space="preserve">soldier-swordsman</x:t>
        </x:is>
      </x:c>
      <x:c r="C5" t="inlineStr">
        <x:is>
          <x:t xml:space="preserve">剑兵</x:t>
        </x:is>
      </x:c>
      <x:c r="D5" t="inlineStr">
        <x:is>
          <x:t xml:space="preserve">Common</x:t>
        </x:is>
      </x:c>
      <x:c r="E5" s="4">
        <x:v>1</x:v>
      </x:c>
      <x:c r="F5" s="4">
        <x:v>2</x:v>
      </x:c>
      <x:c r="G5" s="4">
        <x:v>10</x:v>
      </x:c>
      <x:c r="H5" s="6" t="inlineStr">
        <x:is>
          <x:t xml:space="preserve">基础物理</x:t>
        </x:is>
      </x:c>
      <x:c r="I5" s="6" t="inlineStr">
        <x:is>
          <x:t xml:space="preserve">作为副官：所属英雄 ATK +1（草案）</x:t>
        </x:is>
      </x:c>
      <x:c r="J5" s="6" t="inlineStr">
        <x:is>
          <x:t xml:space="preserve">每级 HP +2 或 ATK/HP 交替</x:t>
        </x:is>
      </x:c>
      <x:c r="K5" s="6" t="inlineStr">
        <x:is>
          <x:t xml:space="preserve">可能稀释英雄存在感</x:t>
        </x:is>
      </x:c>
    </x:row>
    <x:row r="6" ht="50" customHeight="1">
      <x:c r="A6" t="inlineStr">
        <x:is>
          <x:t xml:space="preserve">Soldier</x:t>
        </x:is>
      </x:c>
      <x:c r="B6" t="inlineStr">
        <x:is>
          <x:t xml:space="preserve">soldier-spearman</x:t>
        </x:is>
      </x:c>
      <x:c r="C6" t="inlineStr">
        <x:is>
          <x:t xml:space="preserve">枪兵</x:t>
        </x:is>
      </x:c>
      <x:c r="D6" t="inlineStr">
        <x:is>
          <x:t xml:space="preserve">Common</x:t>
        </x:is>
      </x:c>
      <x:c r="E6" s="4">
        <x:v>1</x:v>
      </x:c>
      <x:c r="F6" s="4">
        <x:v>2</x:v>
      </x:c>
      <x:c r="G6" s="4">
        <x:v>9</x:v>
      </x:c>
      <x:c r="H6" s="6" t="inlineStr">
        <x:is>
          <x:t xml:space="preserve">对重甲/骑乘标签预留</x:t>
        </x:is>
      </x:c>
      <x:c r="I6" s="6" t="inlineStr">
        <x:is>
          <x:t xml:space="preserve">作为副官：对 Cost3 敌人伤害 +1（草案）</x:t>
        </x:is>
      </x:c>
      <x:c r="J6" s="6" t="inlineStr">
        <x:is>
          <x:t xml:space="preserve">偏输出成长</x:t>
        </x:is>
      </x:c>
      <x:c r="K6" s="6" t="inlineStr">
        <x:is>
          <x:t xml:space="preserve">条件克制不宜太窄</x:t>
        </x:is>
      </x:c>
    </x:row>
    <x:row r="7" ht="50" customHeight="1">
      <x:c r="A7" t="inlineStr">
        <x:is>
          <x:t xml:space="preserve">Soldier</x:t>
        </x:is>
      </x:c>
      <x:c r="B7" t="inlineStr">
        <x:is>
          <x:t xml:space="preserve">soldier-shieldbearer</x:t>
        </x:is>
      </x:c>
      <x:c r="C7" t="inlineStr">
        <x:is>
          <x:t xml:space="preserve">盾兵</x:t>
        </x:is>
      </x:c>
      <x:c r="D7" t="inlineStr">
        <x:is>
          <x:t xml:space="preserve">Common</x:t>
        </x:is>
      </x:c>
      <x:c r="E7" s="4">
        <x:v>1</x:v>
      </x:c>
      <x:c r="F7" s="4">
        <x:v>1</x:v>
      </x:c>
      <x:c r="G7" s="4">
        <x:v>14</x:v>
      </x:c>
      <x:c r="H7" s="6" t="inlineStr">
        <x:is>
          <x:t xml:space="preserve">高 HP 低攻击</x:t>
        </x:is>
      </x:c>
      <x:c r="I7" s="6" t="inlineStr">
        <x:is>
          <x:t xml:space="preserve">作为副官：首次受主动攻击伤害 -1（草案）</x:t>
        </x:is>
      </x:c>
      <x:c r="J7" s="6" t="inlineStr">
        <x:is>
          <x:t xml:space="preserve">偏 HP 成长</x:t>
        </x:is>
      </x:c>
      <x:c r="K7" s="6" t="inlineStr">
        <x:is>
          <x:t xml:space="preserve">会和骑士/盾系统叠加</x:t>
        </x:is>
      </x:c>
    </x:row>
    <x:row r="8" ht="50" customHeight="1">
      <x:c r="A8" t="inlineStr">
        <x:is>
          <x:t xml:space="preserve">Soldier</x:t>
        </x:is>
      </x:c>
      <x:c r="B8" t="inlineStr">
        <x:is>
          <x:t xml:space="preserve">soldier-acolyte</x:t>
        </x:is>
      </x:c>
      <x:c r="C8" t="inlineStr">
        <x:is>
          <x:t xml:space="preserve">僧兵</x:t>
        </x:is>
      </x:c>
      <x:c r="D8" t="inlineStr">
        <x:is>
          <x:t xml:space="preserve">Common</x:t>
        </x:is>
      </x:c>
      <x:c r="E8" s="4">
        <x:v>1</x:v>
      </x:c>
      <x:c r="F8" s="4">
        <x:v>1</x:v>
      </x:c>
      <x:c r="G8" s="4">
        <x:v>9</x:v>
      </x:c>
      <x:c r="H8" s="6" t="inlineStr">
        <x:is>
          <x:t xml:space="preserve">轻量治疗标签</x:t>
        </x:is>
      </x:c>
      <x:c r="I8" s="6" t="inlineStr">
        <x:is>
          <x:t xml:space="preserve">作为副官：回合开始小概率回复 1（草案）</x:t>
        </x:is>
      </x:c>
      <x:c r="J8" s="6" t="inlineStr">
        <x:is>
          <x:t xml:space="preserve">技能/特性谨慎成长</x:t>
        </x:is>
      </x:c>
      <x:c r="K8" s="6" t="inlineStr">
        <x:is>
          <x:t xml:space="preserve">过多治疗会拖局</x:t>
        </x:is>
      </x:c>
    </x:row>
    <x:row r="9" ht="50" customHeight="1">
      <x:c r="A9" t="inlineStr">
        <x:is>
          <x:t xml:space="preserve">Soldier</x:t>
        </x:is>
      </x:c>
      <x:c r="B9" t="inlineStr">
        <x:is>
          <x:t xml:space="preserve">soldier-archer</x:t>
        </x:is>
      </x:c>
      <x:c r="C9" t="inlineStr">
        <x:is>
          <x:t xml:space="preserve">弓兵</x:t>
        </x:is>
      </x:c>
      <x:c r="D9" t="inlineStr">
        <x:is>
          <x:t xml:space="preserve">Common</x:t>
        </x:is>
      </x:c>
      <x:c r="E9" s="4">
        <x:v>1</x:v>
      </x:c>
      <x:c r="F9" s="4">
        <x:v>2</x:v>
      </x:c>
      <x:c r="G9" s="4">
        <x:v>8</x:v>
      </x:c>
      <x:c r="H9" s="6" t="inlineStr">
        <x:is>
          <x:t xml:space="preserve">远程标签预留</x:t>
        </x:is>
      </x:c>
      <x:c r="I9" s="6" t="inlineStr">
        <x:is>
          <x:t xml:space="preserve">作为副官：主动攻击目标不相邻时 +1（草案）</x:t>
        </x:is>
      </x:c>
      <x:c r="J9" s="6" t="inlineStr">
        <x:is>
          <x:t xml:space="preserve">偏 ATK 成长</x:t>
        </x:is>
      </x:c>
      <x:c r="K9" s="6" t="inlineStr">
        <x:is>
          <x:t xml:space="preserve">需要站位规则成熟后再定</x:t>
        </x:is>
      </x:c>
    </x:row>
    <x:row r="10" ht="50" customHeight="1">
      <x:c r="A10" t="inlineStr">
        <x:is>
          <x:t xml:space="preserve">Lieutenant Slot</x:t>
        </x:is>
      </x:c>
      <x:c r="B10" t="inlineStr">
        <x:is>
          <x:t xml:space="preserve">hero-lieutenant-slot</x:t>
        </x:is>
      </x:c>
      <x:c r="C10" t="inlineStr">
        <x:is>
          <x:t xml:space="preserve">副官栏位</x:t>
        </x:is>
      </x:c>
      <x:c r="D10" t="inlineStr">
        <x:is>
          <x:t xml:space="preserve">System</x:t>
        </x:is>
      </x:c>
      <x:c r="E10" s="4"/>
      <x:c r="F10" s="4"/>
      <x:c r="G10" s="4"/>
      <x:c r="H10" s="6" t="inlineStr">
        <x:is>
          <x:t xml:space="preserve">未来每名英雄可拥有副官栏</x:t>
        </x:is>
      </x:c>
      <x:c r="I10" s="6" t="inlineStr">
        <x:is>
          <x:t xml:space="preserve">永久/局内栏位变化都应走统一 modifier</x:t>
        </x:is>
      </x:c>
      <x:c r="J10" s="6" t="inlineStr">
        <x:is>
          <x:t xml:space="preserve">永久成长需独立于单场战斗状态</x:t>
        </x:is>
      </x:c>
      <x:c r="K10" s="6" t="inlineStr">
        <x:is>
          <x:t xml:space="preserve">避免把副官写死到英雄类</x:t>
        </x:is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cols>
    <x:col min="1" max="1" width="13" customWidth="1"/>
    <x:col min="2" max="2" width="18" customWidth="1"/>
    <x:col min="3" max="3" width="14" customWidth="1"/>
    <x:col min="4" max="4" width="18" customWidth="1"/>
    <x:col min="5" max="5" width="12" customWidth="1"/>
    <x:col min="6" max="6" width="28" customWidth="1"/>
    <x:col min="7" max="7" width="28" customWidth="1"/>
    <x:col min="8" max="8" width="14" customWidth="1"/>
    <x:col min="9" max="9" width="14" customWidth="1"/>
    <x:col min="10" max="10" width="16" customWidth="1"/>
    <x:col min="11" max="11" width="48" customWidth="1"/>
    <x:col min="12" max="12" width="48" customWidth="1"/>
    <x:col min="13" max="13" width="18" customWidth="1"/>
    <x:col min="14" max="14" width="18" customWidth="1"/>
  </x:cols>
  <x:sheetData>
    <x:row r="1" ht="24" customHeight="1">
      <x:c r="A1" s="1" t="inlineStr">
        <x:is>
          <x:t xml:space="preserve">06 Playtest Log — 测试记录</x:t>
        </x:is>
      </x:c>
    </x:row>
    <x:row r="2" ht="40" customHeight="1">
      <x:c r="A2" s="2" t="inlineStr">
        <x:is>
          <x:t xml:space="preserve">每次测试后回填真实表现。数值表只负责提出假设，playtest 才决定改不改。</x:t>
        </x:is>
      </x:c>
    </x:row>
    <x:row r="3"/>
    <x:row r="4" ht="32" customHeight="1">
      <x:c r="A4" s="3" t="inlineStr">
        <x:is>
          <x:t xml:space="preserve">Date</x:t>
        </x:is>
      </x:c>
      <x:c r="B4" s="3" t="inlineStr">
        <x:is>
          <x:t xml:space="preserve">Build/Version</x:t>
        </x:is>
      </x:c>
      <x:c r="C4" s="3" t="inlineStr">
        <x:is>
          <x:t xml:space="preserve">Mode</x:t>
        </x:is>
      </x:c>
      <x:c r="D4" s="3" t="inlineStr">
        <x:is>
          <x:t xml:space="preserve">Players</x:t>
        </x:is>
      </x:c>
      <x:c r="E4" s="3" t="inlineStr">
        <x:is>
          <x:t xml:space="preserve">Duration</x:t>
        </x:is>
      </x:c>
      <x:c r="F4" s="3" t="inlineStr">
        <x:is>
          <x:t xml:space="preserve">Team A</x:t>
        </x:is>
      </x:c>
      <x:c r="G4" s="3" t="inlineStr">
        <x:is>
          <x:t xml:space="preserve">Team B</x:t>
        </x:is>
      </x:c>
      <x:c r="H4" s="3" t="inlineStr">
        <x:is>
          <x:t xml:space="preserve">Winner</x:t>
        </x:is>
      </x:c>
      <x:c r="I4" s="3" t="inlineStr">
        <x:is>
          <x:t xml:space="preserve">First Player</x:t>
        </x:is>
      </x:c>
      <x:c r="J4" s="3" t="inlineStr">
        <x:is>
          <x:t xml:space="preserve">Issue Tag</x:t>
        </x:is>
      </x:c>
      <x:c r="K4" s="3" t="inlineStr">
        <x:is>
          <x:t xml:space="preserve">Observation</x:t>
        </x:is>
      </x:c>
      <x:c r="L4" s="3" t="inlineStr">
        <x:is>
          <x:t xml:space="preserve">Suggested Change</x:t>
        </x:is>
      </x:c>
      <x:c r="M4" s="3" t="inlineStr">
        <x:is>
          <x:t xml:space="preserve">Decision</x:t>
        </x:is>
      </x:c>
      <x:c r="N4" s="3" t="inlineStr">
        <x:is>
          <x:t xml:space="preserve">Follow-up</x:t>
        </x:is>
      </x:c>
    </x:row>
    <x:row r="5" ht="44" customHeight="1">
      <x:c r="A5" s="10" t="inlineStr">
        <x:is>
          <x:t xml:space="preserve">2026-06-27</x:t>
        </x:is>
      </x:c>
      <x:c r="B5" t="inlineStr">
        <x:is>
          <x:t xml:space="preserve">Balance workbook v0.1</x:t>
        </x:is>
      </x:c>
      <x:c r="C5" t="inlineStr">
        <x:is>
          <x:t xml:space="preserve">template</x:t>
        </x:is>
      </x:c>
      <x:c r="D5"/>
      <x:c r="E5"/>
      <x:c r="F5" s="6"/>
      <x:c r="G5" s="6"/>
      <x:c r="H5"/>
      <x:c r="I5"/>
      <x:c r="J5" t="inlineStr">
        <x:is>
          <x:t xml:space="preserve">setup</x:t>
        </x:is>
      </x:c>
      <x:c r="K5" s="6" t="inlineStr">
        <x:is>
          <x:t xml:space="preserve">建立第一版拉表骨架。</x:t>
        </x:is>
      </x:c>
      <x:c r="L5" s="6" t="inlineStr">
        <x:is>
          <x:t xml:space="preserve">后续 playtest 后回填。</x:t>
        </x:is>
      </x:c>
      <x:c r="M5" t="inlineStr">
        <x:is>
          <x:t xml:space="preserve">open</x:t>
        </x:is>
      </x:c>
      <x:c r="N5"/>
    </x:row>
    <x:row r="6">
      <x:c r="A6"/>
      <x:c r="B6"/>
      <x:c r="C6"/>
      <x:c r="D6"/>
      <x:c r="E6"/>
      <x:c r="F6"/>
      <x:c r="G6"/>
      <x:c r="H6"/>
      <x:c r="I6"/>
      <x:c r="J6"/>
      <x:c r="K6"/>
      <x:c r="L6"/>
      <x:c r="M6"/>
      <x:c r="N6"/>
    </x:row>
    <x:row r="7">
      <x:c r="A7"/>
      <x:c r="B7"/>
      <x:c r="C7"/>
      <x:c r="D7"/>
      <x:c r="E7"/>
      <x:c r="F7"/>
      <x:c r="G7"/>
      <x:c r="H7"/>
      <x:c r="I7"/>
      <x:c r="J7"/>
      <x:c r="K7"/>
      <x:c r="L7"/>
      <x:c r="M7"/>
      <x:c r="N7"/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</x:row>
  </x:sheetData>
  <x:mergeCells>
    <x:mergeCell ref="A1:N1"/>
    <x:mergeCell ref="A2:N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cols>
    <x:col min="1" max="1" width="13" customWidth="1"/>
    <x:col min="2" max="2" width="14" customWidth="1"/>
    <x:col min="3" max="3" width="70" customWidth="1"/>
    <x:col min="4" max="4" width="58" customWidth="1"/>
    <x:col min="5" max="5" width="20" customWidth="1"/>
  </x:cols>
  <x:sheetData>
    <x:row r="1" ht="24" customHeight="1">
      <x:c r="A1" s="1" t="inlineStr">
        <x:is>
          <x:t xml:space="preserve">99 Changelog</x:t>
        </x:is>
      </x:c>
    </x:row>
    <x:row r="2" ht="40" customHeight="1">
      <x:c r="A2" s="2" t="inlineStr">
        <x:is>
          <x:t xml:space="preserve">用于记录这份 Excel 本身的结构和重要假设修改。</x:t>
        </x:is>
      </x:c>
    </x:row>
    <x:row r="3"/>
    <x:row r="4" ht="30" customHeight="1">
      <x:c r="A4" s="3" t="inlineStr">
        <x:is>
          <x:t xml:space="preserve">Date</x:t>
        </x:is>
      </x:c>
      <x:c r="B4" s="3" t="inlineStr">
        <x:is>
          <x:t xml:space="preserve">Version</x:t>
        </x:is>
      </x:c>
      <x:c r="C4" s="3" t="inlineStr">
        <x:is>
          <x:t xml:space="preserve">Changes</x:t>
        </x:is>
      </x:c>
      <x:c r="D4" s="3" t="inlineStr">
        <x:is>
          <x:t xml:space="preserve">Reason</x:t>
        </x:is>
      </x:c>
      <x:c r="E4" s="3" t="inlineStr">
        <x:is>
          <x:t xml:space="preserve">Affected Sheets</x:t>
        </x:is>
      </x:c>
    </x:row>
    <x:row r="5" ht="54" customHeight="1">
      <x:c r="A5" s="10" t="inlineStr">
        <x:is>
          <x:t xml:space="preserve">2026-06-27</x:t>
        </x:is>
      </x:c>
      <x:c r="B5" t="inlineStr">
        <x:is>
          <x:t xml:space="preserve">v0.1</x:t>
        </x:is>
      </x:c>
      <x:c r="C5" s="6" t="inlineStr">
        <x:is>
          <x:t xml:space="preserve">重建第一版 balance workbook，修正上一版 PowerShell 管道导致的中日文问号问题。</x:t>
        </x:is>
      </x:c>
      <x:c r="D5" s="6" t="inlineStr">
        <x:is>
          <x:t xml:space="preserve">为后续机制扩展、升级系统、副官系统和数值调整提供统一地基。</x:t>
        </x:is>
      </x:c>
      <x:c r="E5" t="inlineStr">
        <x:is>
          <x:t xml:space="preserve">all</x:t>
        </x:is>
      </x:c>
    </x:row>
    <x:row r="6">
      <x:c r="A6" s="100" t="str">
        <x:v>2026-06-28</x:v>
      </x:c>
      <x:c r="B6" s="98" t="str">
        <x:v>v0.2</x:v>
      </x:c>
      <x:c r="C6" s="98" t="str">
        <x:v>加入 V1.18 防御拉表：01_Hero_Base 追加 P.DEF/M.DEF，03_Combat_Exchange 追加防御后主动伤害，新增 07_Defense_Lab 观察 64 组基础交换。</x:v>
      </x:c>
      <x:c r="D6" s="98" t="str">
        <x:v>让物理/魔法防御从代码规则同步进入可审计数值表，便于观察低攻角色是否被固定减伤压死。</x:v>
      </x:c>
      <x:c r="E6" s="99" t="str">
        <x:v>01_Hero_Base; 03_Combat_Exchange; 07_Defense_Lab; 99_Changelog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1.44000244140625" hidden="0" customWidth="1"/>
    <x:col min="2" max="2" width="7.889999866485596" hidden="0" customWidth="1"/>
    <x:col min="3" max="3" width="9.779999732971191" hidden="0" customWidth="1"/>
    <x:col min="4" max="4" width="11.109999656677246" hidden="0" customWidth="1"/>
    <x:col min="5" max="5" width="7.21999979019165" hidden="0" customWidth="1"/>
    <x:col min="6" max="6" width="11" hidden="0" customWidth="1"/>
    <x:col min="7" max="7" width="11.670000076293945" hidden="0" customWidth="1"/>
    <x:col min="8" max="8" width="10.779999732971191" hidden="0" customWidth="1"/>
    <x:col min="9" max="9" width="12.890000343322754" hidden="0" customWidth="1"/>
    <x:col min="10" max="10" width="13.670000076293945" hidden="0" customWidth="1"/>
    <x:col min="11" max="11" width="12.220000267028809" hidden="0" customWidth="1"/>
    <x:col min="12" max="12" width="13" hidden="0" customWidth="1"/>
    <x:col min="13" max="13" width="9.5600004196167" hidden="0" customWidth="1"/>
    <x:col min="14" max="14" width="12.670000076293945" hidden="0" customWidth="1"/>
    <x:col min="15" max="15" width="17.110000610351562" hidden="0" customWidth="1"/>
    <x:col min="16" max="16" width="10.779999732971191" hidden="0" customWidth="1"/>
    <x:col min="17" max="17" width="14" hidden="0" customWidth="1"/>
    <x:col min="18" max="18" width="18.329999923706055" hidden="0" customWidth="1"/>
    <x:col min="19" max="19" width="10.329999923706055" hidden="0" customWidth="1"/>
    <x:col min="20" max="20" width="10.109999656677246" hidden="0" customWidth="1"/>
    <x:col min="21" max="21" width="11.670000076293945" hidden="0" customWidth="1"/>
    <x:col min="22" max="22" width="12.5600004196167" hidden="0" customWidth="1"/>
    <x:col min="23" max="23" width="18.440000534057617" hidden="0" customWidth="1"/>
  </x:cols>
  <x:sheetData>
    <x:row r="1" ht="16.799999237060547" hidden="0" customHeight="1">
      <x:c r="A1" s="35" t="str">
        <x:v>07 Defense Lab — V1.18 物理/魔法防御矩阵</x:v>
      </x:c>
    </x:row>
    <x:row r="2" ht="15" hidden="0" customHeight="1">
      <x:c r="A2" s="39" t="str">
        <x:v>64 组 Attacker × Defender。只纳入基础攻击、基础反击与类型防御；不纳入共有盾、预见、守护、技能触发随机性、治疗或击杀后的后续收益。用于观察 1 点防御是否让低攻角色失去行动价值。</x:v>
      </x:c>
    </x:row>
    <x:row r="3"/>
    <x:row r="4" ht="15" hidden="0" customHeight="1">
      <x:c r="A4" s="16" t="str">
        <x:v>Attacker</x:v>
      </x:c>
      <x:c r="B4" s="16" t="str">
        <x:v>Defender</x:v>
      </x:c>
      <x:c r="C4" s="16" t="str">
        <x:v>Attack Type</x:v>
      </x:c>
      <x:c r="D4" s="16" t="str">
        <x:v>Counter Type</x:v>
      </x:c>
      <x:c r="E4" s="16" t="str">
        <x:v>Atk Cost</x:v>
      </x:c>
      <x:c r="F4" s="16" t="str">
        <x:v>Attacker ATK</x:v>
      </x:c>
      <x:c r="G4" s="16" t="str">
        <x:v>Defender ATK</x:v>
      </x:c>
      <x:c r="H4" s="16" t="str">
        <x:v>Defender HP</x:v>
      </x:c>
      <x:c r="I4" s="16" t="str">
        <x:v>Defender P.DEF</x:v>
      </x:c>
      <x:c r="J4" s="16" t="str">
        <x:v>Defender M.DEF</x:v>
      </x:c>
      <x:c r="K4" s="16" t="str">
        <x:v>Attacker P.DEF</x:v>
      </x:c>
      <x:c r="L4" s="16" t="str">
        <x:v>Attacker M.DEF</x:v>
      </x:c>
      <x:c r="M4" s="16" t="str">
        <x:v>Raw Attack</x:v>
      </x:c>
      <x:c r="N4" s="16" t="str">
        <x:v>Attack Defense</x:v>
      </x:c>
      <x:c r="O4" s="16" t="str">
        <x:v>Attack After Defense</x:v>
      </x:c>
      <x:c r="P4" s="16" t="str">
        <x:v>Raw Counter</x:v>
      </x:c>
      <x:c r="Q4" s="16" t="str">
        <x:v>Counter Defense</x:v>
      </x:c>
      <x:c r="R4" s="16" t="str">
        <x:v>Counter After Defense</x:v>
      </x:c>
      <x:c r="S4" s="16" t="str">
        <x:v>Net Damage</x:v>
      </x:c>
      <x:c r="T4" s="16" t="str">
        <x:v>Damage/AP</x:v>
      </x:c>
      <x:c r="U4" s="16" t="str">
        <x:v>Attacks To KO</x:v>
      </x:c>
      <x:c r="V4" s="16" t="str">
        <x:v>Counter Threat</x:v>
      </x:c>
      <x:c r="W4" s="16" t="str">
        <x:v>Defense Note</x:v>
      </x:c>
    </x:row>
    <x:row r="5" ht="15" hidden="0" customHeight="1">
      <x:c r="A5" s="58" t="str">
        <x:v>peasant</x:v>
      </x:c>
      <x:c r="B5" s="59" t="str">
        <x:v>peasant</x:v>
      </x:c>
      <x:c r="C5" s="59" t="str">
        <x:f>VLOOKUP(A5,'01_Hero_Base'!$A$5:$P$12,4,FALSE)</x:f>
        <x:v>Physical</x:v>
      </x:c>
      <x:c r="D5" s="59" t="str">
        <x:f>VLOOKUP(B5,'01_Hero_Base'!$A$5:$P$12,4,FALSE)</x:f>
        <x:v>Physical</x:v>
      </x:c>
      <x:c r="E5" s="67" t="n">
        <x:f>VLOOKUP(A5,'01_Hero_Base'!$A$5:$P$12,5,FALSE)</x:f>
        <x:v>1</x:v>
      </x:c>
      <x:c r="F5" s="67" t="n">
        <x:f>VLOOKUP(A5,'01_Hero_Base'!$A$5:$P$12,6,FALSE)</x:f>
        <x:v>2</x:v>
      </x:c>
      <x:c r="G5" s="67" t="n">
        <x:f>VLOOKUP(B5,'01_Hero_Base'!$A$5:$P$12,6,FALSE)</x:f>
        <x:v>2</x:v>
      </x:c>
      <x:c r="H5" s="67" t="n">
        <x:f>VLOOKUP(B5,'01_Hero_Base'!$A$5:$P$12,7,FALSE)</x:f>
        <x:v>16</x:v>
      </x:c>
      <x:c r="I5" s="67" t="n">
        <x:f>VLOOKUP(B5,'01_Hero_Base'!$A$5:$P$12,15,FALSE)</x:f>
        <x:v>0</x:v>
      </x:c>
      <x:c r="J5" s="67" t="n">
        <x:f>VLOOKUP(B5,'01_Hero_Base'!$A$5:$P$12,16,FALSE)</x:f>
        <x:v>0</x:v>
      </x:c>
      <x:c r="K5" s="67" t="n">
        <x:f>VLOOKUP(A5,'01_Hero_Base'!$A$5:$P$12,15,FALSE)</x:f>
        <x:v>0</x:v>
      </x:c>
      <x:c r="L5" s="67" t="n">
        <x:f>VLOOKUP(A5,'01_Hero_Base'!$A$5:$P$12,16,FALSE)</x:f>
        <x:v>0</x:v>
      </x:c>
      <x:c r="M5" s="67" t="n">
        <x:f>F5</x:f>
        <x:v>2</x:v>
      </x:c>
      <x:c r="N5" s="67" t="n">
        <x:f>IF(C5="Physical",I5,IF(C5="Magical",J5,0))</x:f>
        <x:v>0</x:v>
      </x:c>
      <x:c r="O5" s="73" t="n">
        <x:f>MAX(0,M5-N5)</x:f>
        <x:v>2</x:v>
      </x:c>
      <x:c r="P5" s="67" t="n">
        <x:f>MAX(0,G5-'00_Assumptions'!$C$10)</x:f>
        <x:v>1</x:v>
      </x:c>
      <x:c r="Q5" s="67" t="n">
        <x:f>IF(D5="Physical",K5,IF(D5="Magical",L5,0))</x:f>
        <x:v>0</x:v>
      </x:c>
      <x:c r="R5" s="76" t="n">
        <x:f>MAX(0,P5-Q5)</x:f>
        <x:v>1</x:v>
      </x:c>
      <x:c r="S5" s="67" t="n">
        <x:f>O5-R5</x:f>
        <x:v>1</x:v>
      </x:c>
      <x:c r="T5" s="70" t="n">
        <x:f>IF(E5=0,0,O5/E5)</x:f>
        <x:v>2</x:v>
      </x:c>
      <x:c r="U5" s="79" t="n">
        <x:f>IF(O5=0,"∞",ROUNDUP(H5/O5,0))</x:f>
        <x:v>8</x:v>
      </x:c>
      <x:c r="V5" s="67" t="str">
        <x:f>IF(R5&gt;=3,"高",IF(R5&gt;=2,"中","低"))</x:f>
        <x:v>低</x:v>
      </x:c>
      <x:c r="W5" s="88" t="str">
        <x:f>IF(O5=0,"主动伤害被防御完全抵消",IF(N5&gt;0,"受防御影响","无防御影响"))</x:f>
        <x:v>无防御影响</x:v>
      </x:c>
    </x:row>
    <x:row r="6" ht="15" hidden="0" customHeight="1">
      <x:c r="A6" s="60" t="str">
        <x:v>peasant</x:v>
      </x:c>
      <x:c r="B6" s="61" t="str">
        <x:v>princess</x:v>
      </x:c>
      <x:c r="C6" s="61" t="str">
        <x:f>VLOOKUP(A6,'01_Hero_Base'!$A$5:$P$12,4,FALSE)</x:f>
        <x:v>Physical</x:v>
      </x:c>
      <x:c r="D6" s="61" t="str">
        <x:f>VLOOKUP(B6,'01_Hero_Base'!$A$5:$P$12,4,FALSE)</x:f>
        <x:v>Physical</x:v>
      </x:c>
      <x:c r="E6" s="68" t="n">
        <x:f>VLOOKUP(A6,'01_Hero_Base'!$A$5:$P$12,5,FALSE)</x:f>
        <x:v>1</x:v>
      </x:c>
      <x:c r="F6" s="68" t="n">
        <x:f>VLOOKUP(A6,'01_Hero_Base'!$A$5:$P$12,6,FALSE)</x:f>
        <x:v>2</x:v>
      </x:c>
      <x:c r="G6" s="68" t="n">
        <x:f>VLOOKUP(B6,'01_Hero_Base'!$A$5:$P$12,6,FALSE)</x:f>
        <x:v>1</x:v>
      </x:c>
      <x:c r="H6" s="68" t="n">
        <x:f>VLOOKUP(B6,'01_Hero_Base'!$A$5:$P$12,7,FALSE)</x:f>
        <x:v>12</x:v>
      </x:c>
      <x:c r="I6" s="68" t="n">
        <x:f>VLOOKUP(B6,'01_Hero_Base'!$A$5:$P$12,15,FALSE)</x:f>
        <x:v>0</x:v>
      </x:c>
      <x:c r="J6" s="68" t="n">
        <x:f>VLOOKUP(B6,'01_Hero_Base'!$A$5:$P$12,16,FALSE)</x:f>
        <x:v>0</x:v>
      </x:c>
      <x:c r="K6" s="68" t="n">
        <x:f>VLOOKUP(A6,'01_Hero_Base'!$A$5:$P$12,15,FALSE)</x:f>
        <x:v>0</x:v>
      </x:c>
      <x:c r="L6" s="68" t="n">
        <x:f>VLOOKUP(A6,'01_Hero_Base'!$A$5:$P$12,16,FALSE)</x:f>
        <x:v>0</x:v>
      </x:c>
      <x:c r="M6" s="68" t="n">
        <x:f>F6</x:f>
        <x:v>2</x:v>
      </x:c>
      <x:c r="N6" s="68" t="n">
        <x:f>IF(C6="Physical",I6,IF(C6="Magical",J6,0))</x:f>
        <x:v>0</x:v>
      </x:c>
      <x:c r="O6" s="74" t="n">
        <x:f>MAX(0,M6-N6)</x:f>
        <x:v>2</x:v>
      </x:c>
      <x:c r="P6" s="68" t="n">
        <x:f>MAX(0,G6-'00_Assumptions'!$C$10)</x:f>
        <x:v>0</x:v>
      </x:c>
      <x:c r="Q6" s="68" t="n">
        <x:f>IF(D6="Physical",K6,IF(D6="Magical",L6,0))</x:f>
        <x:v>0</x:v>
      </x:c>
      <x:c r="R6" s="77" t="n">
        <x:f>MAX(0,P6-Q6)</x:f>
        <x:v>0</x:v>
      </x:c>
      <x:c r="S6" s="68" t="n">
        <x:f>O6-R6</x:f>
        <x:v>2</x:v>
      </x:c>
      <x:c r="T6" s="71" t="n">
        <x:f>IF(E6=0,0,O6/E6)</x:f>
        <x:v>2</x:v>
      </x:c>
      <x:c r="U6" s="80" t="n">
        <x:f>IF(O6=0,"∞",ROUNDUP(H6/O6,0))</x:f>
        <x:v>6</x:v>
      </x:c>
      <x:c r="V6" s="68" t="str">
        <x:f>IF(R6&gt;=3,"高",IF(R6&gt;=2,"中","低"))</x:f>
        <x:v>低</x:v>
      </x:c>
      <x:c r="W6" s="89" t="str">
        <x:f>IF(O6=0,"主动伤害被防御完全抵消",IF(N6&gt;0,"受防御影响","无防御影响"))</x:f>
        <x:v>无防御影响</x:v>
      </x:c>
    </x:row>
    <x:row r="7" ht="15" hidden="0" customHeight="1">
      <x:c r="A7" s="60" t="str">
        <x:v>peasant</x:v>
      </x:c>
      <x:c r="B7" s="61" t="str">
        <x:v>mage</x:v>
      </x:c>
      <x:c r="C7" s="61" t="str">
        <x:f>VLOOKUP(A7,'01_Hero_Base'!$A$5:$P$12,4,FALSE)</x:f>
        <x:v>Physical</x:v>
      </x:c>
      <x:c r="D7" s="61" t="str">
        <x:f>VLOOKUP(B7,'01_Hero_Base'!$A$5:$P$12,4,FALSE)</x:f>
        <x:v>Magical</x:v>
      </x:c>
      <x:c r="E7" s="68" t="n">
        <x:f>VLOOKUP(A7,'01_Hero_Base'!$A$5:$P$12,5,FALSE)</x:f>
        <x:v>1</x:v>
      </x:c>
      <x:c r="F7" s="68" t="n">
        <x:f>VLOOKUP(A7,'01_Hero_Base'!$A$5:$P$12,6,FALSE)</x:f>
        <x:v>2</x:v>
      </x:c>
      <x:c r="G7" s="68" t="n">
        <x:f>VLOOKUP(B7,'01_Hero_Base'!$A$5:$P$12,6,FALSE)</x:f>
        <x:v>4</x:v>
      </x:c>
      <x:c r="H7" s="68" t="n">
        <x:f>VLOOKUP(B7,'01_Hero_Base'!$A$5:$P$12,7,FALSE)</x:f>
        <x:v>16</x:v>
      </x:c>
      <x:c r="I7" s="68" t="n">
        <x:f>VLOOKUP(B7,'01_Hero_Base'!$A$5:$P$12,15,FALSE)</x:f>
        <x:v>0</x:v>
      </x:c>
      <x:c r="J7" s="68" t="n">
        <x:f>VLOOKUP(B7,'01_Hero_Base'!$A$5:$P$12,16,FALSE)</x:f>
        <x:v>0</x:v>
      </x:c>
      <x:c r="K7" s="68" t="n">
        <x:f>VLOOKUP(A7,'01_Hero_Base'!$A$5:$P$12,15,FALSE)</x:f>
        <x:v>0</x:v>
      </x:c>
      <x:c r="L7" s="68" t="n">
        <x:f>VLOOKUP(A7,'01_Hero_Base'!$A$5:$P$12,16,FALSE)</x:f>
        <x:v>0</x:v>
      </x:c>
      <x:c r="M7" s="68" t="n">
        <x:f>F7</x:f>
        <x:v>2</x:v>
      </x:c>
      <x:c r="N7" s="68" t="n">
        <x:f>IF(C7="Physical",I7,IF(C7="Magical",J7,0))</x:f>
        <x:v>0</x:v>
      </x:c>
      <x:c r="O7" s="74" t="n">
        <x:f>MAX(0,M7-N7)</x:f>
        <x:v>2</x:v>
      </x:c>
      <x:c r="P7" s="68" t="n">
        <x:f>MAX(0,G7-'00_Assumptions'!$C$10)</x:f>
        <x:v>3</x:v>
      </x:c>
      <x:c r="Q7" s="68" t="n">
        <x:f>IF(D7="Physical",K7,IF(D7="Magical",L7,0))</x:f>
        <x:v>0</x:v>
      </x:c>
      <x:c r="R7" s="77" t="n">
        <x:f>MAX(0,P7-Q7)</x:f>
        <x:v>3</x:v>
      </x:c>
      <x:c r="S7" s="68" t="n">
        <x:f>O7-R7</x:f>
        <x:v>-1</x:v>
      </x:c>
      <x:c r="T7" s="71" t="n">
        <x:f>IF(E7=0,0,O7/E7)</x:f>
        <x:v>2</x:v>
      </x:c>
      <x:c r="U7" s="80" t="n">
        <x:f>IF(O7=0,"∞",ROUNDUP(H7/O7,0))</x:f>
        <x:v>8</x:v>
      </x:c>
      <x:c r="V7" s="68" t="str">
        <x:f>IF(R7&gt;=3,"高",IF(R7&gt;=2,"中","低"))</x:f>
        <x:v>高</x:v>
      </x:c>
      <x:c r="W7" s="89" t="str">
        <x:f>IF(O7=0,"主动伤害被防御完全抵消",IF(N7&gt;0,"受防御影响","无防御影响"))</x:f>
        <x:v>无防御影响</x:v>
      </x:c>
    </x:row>
    <x:row r="8" ht="15" hidden="0" customHeight="1">
      <x:c r="A8" s="60" t="str">
        <x:v>peasant</x:v>
      </x:c>
      <x:c r="B8" s="61" t="str">
        <x:v>oracle</x:v>
      </x:c>
      <x:c r="C8" s="61" t="str">
        <x:f>VLOOKUP(A8,'01_Hero_Base'!$A$5:$P$12,4,FALSE)</x:f>
        <x:v>Physical</x:v>
      </x:c>
      <x:c r="D8" s="61" t="str">
        <x:f>VLOOKUP(B8,'01_Hero_Base'!$A$5:$P$12,4,FALSE)</x:f>
        <x:v>Magical</x:v>
      </x:c>
      <x:c r="E8" s="68" t="n">
        <x:f>VLOOKUP(A8,'01_Hero_Base'!$A$5:$P$12,5,FALSE)</x:f>
        <x:v>1</x:v>
      </x:c>
      <x:c r="F8" s="68" t="n">
        <x:f>VLOOKUP(A8,'01_Hero_Base'!$A$5:$P$12,6,FALSE)</x:f>
        <x:v>2</x:v>
      </x:c>
      <x:c r="G8" s="68" t="n">
        <x:f>VLOOKUP(B8,'01_Hero_Base'!$A$5:$P$12,6,FALSE)</x:f>
        <x:v>1</x:v>
      </x:c>
      <x:c r="H8" s="68" t="n">
        <x:f>VLOOKUP(B8,'01_Hero_Base'!$A$5:$P$12,7,FALSE)</x:f>
        <x:v>14</x:v>
      </x:c>
      <x:c r="I8" s="68" t="n">
        <x:f>VLOOKUP(B8,'01_Hero_Base'!$A$5:$P$12,15,FALSE)</x:f>
        <x:v>0</x:v>
      </x:c>
      <x:c r="J8" s="68" t="n">
        <x:f>VLOOKUP(B8,'01_Hero_Base'!$A$5:$P$12,16,FALSE)</x:f>
        <x:v>1</x:v>
      </x:c>
      <x:c r="K8" s="68" t="n">
        <x:f>VLOOKUP(A8,'01_Hero_Base'!$A$5:$P$12,15,FALSE)</x:f>
        <x:v>0</x:v>
      </x:c>
      <x:c r="L8" s="68" t="n">
        <x:f>VLOOKUP(A8,'01_Hero_Base'!$A$5:$P$12,16,FALSE)</x:f>
        <x:v>0</x:v>
      </x:c>
      <x:c r="M8" s="68" t="n">
        <x:f>F8</x:f>
        <x:v>2</x:v>
      </x:c>
      <x:c r="N8" s="68" t="n">
        <x:f>IF(C8="Physical",I8,IF(C8="Magical",J8,0))</x:f>
        <x:v>0</x:v>
      </x:c>
      <x:c r="O8" s="74" t="n">
        <x:f>MAX(0,M8-N8)</x:f>
        <x:v>2</x:v>
      </x:c>
      <x:c r="P8" s="68" t="n">
        <x:f>MAX(0,G8-'00_Assumptions'!$C$10)</x:f>
        <x:v>0</x:v>
      </x:c>
      <x:c r="Q8" s="68" t="n">
        <x:f>IF(D8="Physical",K8,IF(D8="Magical",L8,0))</x:f>
        <x:v>0</x:v>
      </x:c>
      <x:c r="R8" s="77" t="n">
        <x:f>MAX(0,P8-Q8)</x:f>
        <x:v>0</x:v>
      </x:c>
      <x:c r="S8" s="68" t="n">
        <x:f>O8-R8</x:f>
        <x:v>2</x:v>
      </x:c>
      <x:c r="T8" s="71" t="n">
        <x:f>IF(E8=0,0,O8/E8)</x:f>
        <x:v>2</x:v>
      </x:c>
      <x:c r="U8" s="80" t="n">
        <x:f>IF(O8=0,"∞",ROUNDUP(H8/O8,0))</x:f>
        <x:v>7</x:v>
      </x:c>
      <x:c r="V8" s="68" t="str">
        <x:f>IF(R8&gt;=3,"高",IF(R8&gt;=2,"中","低"))</x:f>
        <x:v>低</x:v>
      </x:c>
      <x:c r="W8" s="89" t="str">
        <x:f>IF(O8=0,"主动伤害被防御完全抵消",IF(N8&gt;0,"受防御影响","无防御影响"))</x:f>
        <x:v>无防御影响</x:v>
      </x:c>
    </x:row>
    <x:row r="9" ht="15" hidden="0" customHeight="1">
      <x:c r="A9" s="60" t="str">
        <x:v>peasant</x:v>
      </x:c>
      <x:c r="B9" s="61" t="str">
        <x:v>knight</x:v>
      </x:c>
      <x:c r="C9" s="61" t="str">
        <x:f>VLOOKUP(A9,'01_Hero_Base'!$A$5:$P$12,4,FALSE)</x:f>
        <x:v>Physical</x:v>
      </x:c>
      <x:c r="D9" s="61" t="str">
        <x:f>VLOOKUP(B9,'01_Hero_Base'!$A$5:$P$12,4,FALSE)</x:f>
        <x:v>Physical</x:v>
      </x:c>
      <x:c r="E9" s="68" t="n">
        <x:f>VLOOKUP(A9,'01_Hero_Base'!$A$5:$P$12,5,FALSE)</x:f>
        <x:v>1</x:v>
      </x:c>
      <x:c r="F9" s="68" t="n">
        <x:f>VLOOKUP(A9,'01_Hero_Base'!$A$5:$P$12,6,FALSE)</x:f>
        <x:v>2</x:v>
      </x:c>
      <x:c r="G9" s="68" t="n">
        <x:f>VLOOKUP(B9,'01_Hero_Base'!$A$5:$P$12,6,FALSE)</x:f>
        <x:v>3</x:v>
      </x:c>
      <x:c r="H9" s="68" t="n">
        <x:f>VLOOKUP(B9,'01_Hero_Base'!$A$5:$P$12,7,FALSE)</x:f>
        <x:v>24</x:v>
      </x:c>
      <x:c r="I9" s="68" t="n">
        <x:f>VLOOKUP(B9,'01_Hero_Base'!$A$5:$P$12,15,FALSE)</x:f>
        <x:v>1</x:v>
      </x:c>
      <x:c r="J9" s="68" t="n">
        <x:f>VLOOKUP(B9,'01_Hero_Base'!$A$5:$P$12,16,FALSE)</x:f>
        <x:v>0</x:v>
      </x:c>
      <x:c r="K9" s="68" t="n">
        <x:f>VLOOKUP(A9,'01_Hero_Base'!$A$5:$P$12,15,FALSE)</x:f>
        <x:v>0</x:v>
      </x:c>
      <x:c r="L9" s="68" t="n">
        <x:f>VLOOKUP(A9,'01_Hero_Base'!$A$5:$P$12,16,FALSE)</x:f>
        <x:v>0</x:v>
      </x:c>
      <x:c r="M9" s="68" t="n">
        <x:f>F9</x:f>
        <x:v>2</x:v>
      </x:c>
      <x:c r="N9" s="68" t="n">
        <x:f>IF(C9="Physical",I9,IF(C9="Magical",J9,0))</x:f>
        <x:v>1</x:v>
      </x:c>
      <x:c r="O9" s="74" t="n">
        <x:f>MAX(0,M9-N9)</x:f>
        <x:v>1</x:v>
      </x:c>
      <x:c r="P9" s="68" t="n">
        <x:f>MAX(0,G9-'00_Assumptions'!$C$10)</x:f>
        <x:v>2</x:v>
      </x:c>
      <x:c r="Q9" s="68" t="n">
        <x:f>IF(D9="Physical",K9,IF(D9="Magical",L9,0))</x:f>
        <x:v>0</x:v>
      </x:c>
      <x:c r="R9" s="77" t="n">
        <x:f>MAX(0,P9-Q9)</x:f>
        <x:v>2</x:v>
      </x:c>
      <x:c r="S9" s="68" t="n">
        <x:f>O9-R9</x:f>
        <x:v>-1</x:v>
      </x:c>
      <x:c r="T9" s="71" t="n">
        <x:f>IF(E9=0,0,O9/E9)</x:f>
        <x:v>1</x:v>
      </x:c>
      <x:c r="U9" s="80" t="n">
        <x:f>IF(O9=0,"∞",ROUNDUP(H9/O9,0))</x:f>
        <x:v>24</x:v>
      </x:c>
      <x:c r="V9" s="68" t="str">
        <x:f>IF(R9&gt;=3,"高",IF(R9&gt;=2,"中","低"))</x:f>
        <x:v>中</x:v>
      </x:c>
      <x:c r="W9" s="89" t="str">
        <x:f>IF(O9=0,"主动伤害被防御完全抵消",IF(N9&gt;0,"受防御影响","无防御影响"))</x:f>
        <x:v>受防御影响</x:v>
      </x:c>
    </x:row>
    <x:row r="10" ht="15" hidden="0" customHeight="1">
      <x:c r="A10" s="60" t="str">
        <x:v>peasant</x:v>
      </x:c>
      <x:c r="B10" s="61" t="str">
        <x:v>druid</x:v>
      </x:c>
      <x:c r="C10" s="61" t="str">
        <x:f>VLOOKUP(A10,'01_Hero_Base'!$A$5:$P$12,4,FALSE)</x:f>
        <x:v>Physical</x:v>
      </x:c>
      <x:c r="D10" s="61" t="str">
        <x:f>VLOOKUP(B10,'01_Hero_Base'!$A$5:$P$12,4,FALSE)</x:f>
        <x:v>Magical</x:v>
      </x:c>
      <x:c r="E10" s="68" t="n">
        <x:f>VLOOKUP(A10,'01_Hero_Base'!$A$5:$P$12,5,FALSE)</x:f>
        <x:v>1</x:v>
      </x:c>
      <x:c r="F10" s="68" t="n">
        <x:f>VLOOKUP(A10,'01_Hero_Base'!$A$5:$P$12,6,FALSE)</x:f>
        <x:v>2</x:v>
      </x:c>
      <x:c r="G10" s="68" t="n">
        <x:f>VLOOKUP(B10,'01_Hero_Base'!$A$5:$P$12,6,FALSE)</x:f>
        <x:v>1</x:v>
      </x:c>
      <x:c r="H10" s="68" t="n">
        <x:f>VLOOKUP(B10,'01_Hero_Base'!$A$5:$P$12,7,FALSE)</x:f>
        <x:v>16</x:v>
      </x:c>
      <x:c r="I10" s="68" t="n">
        <x:f>VLOOKUP(B10,'01_Hero_Base'!$A$5:$P$12,15,FALSE)</x:f>
        <x:v>0</x:v>
      </x:c>
      <x:c r="J10" s="68" t="n">
        <x:f>VLOOKUP(B10,'01_Hero_Base'!$A$5:$P$12,16,FALSE)</x:f>
        <x:v>1</x:v>
      </x:c>
      <x:c r="K10" s="68" t="n">
        <x:f>VLOOKUP(A10,'01_Hero_Base'!$A$5:$P$12,15,FALSE)</x:f>
        <x:v>0</x:v>
      </x:c>
      <x:c r="L10" s="68" t="n">
        <x:f>VLOOKUP(A10,'01_Hero_Base'!$A$5:$P$12,16,FALSE)</x:f>
        <x:v>0</x:v>
      </x:c>
      <x:c r="M10" s="68" t="n">
        <x:f>F10</x:f>
        <x:v>2</x:v>
      </x:c>
      <x:c r="N10" s="68" t="n">
        <x:f>IF(C10="Physical",I10,IF(C10="Magical",J10,0))</x:f>
        <x:v>0</x:v>
      </x:c>
      <x:c r="O10" s="74" t="n">
        <x:f>MAX(0,M10-N10)</x:f>
        <x:v>2</x:v>
      </x:c>
      <x:c r="P10" s="68" t="n">
        <x:f>MAX(0,G10-'00_Assumptions'!$C$10)</x:f>
        <x:v>0</x:v>
      </x:c>
      <x:c r="Q10" s="68" t="n">
        <x:f>IF(D10="Physical",K10,IF(D10="Magical",L10,0))</x:f>
        <x:v>0</x:v>
      </x:c>
      <x:c r="R10" s="77" t="n">
        <x:f>MAX(0,P10-Q10)</x:f>
        <x:v>0</x:v>
      </x:c>
      <x:c r="S10" s="68" t="n">
        <x:f>O10-R10</x:f>
        <x:v>2</x:v>
      </x:c>
      <x:c r="T10" s="71" t="n">
        <x:f>IF(E10=0,0,O10/E10)</x:f>
        <x:v>2</x:v>
      </x:c>
      <x:c r="U10" s="80" t="n">
        <x:f>IF(O10=0,"∞",ROUNDUP(H10/O10,0))</x:f>
        <x:v>8</x:v>
      </x:c>
      <x:c r="V10" s="68" t="str">
        <x:f>IF(R10&gt;=3,"高",IF(R10&gt;=2,"中","低"))</x:f>
        <x:v>低</x:v>
      </x:c>
      <x:c r="W10" s="89" t="str">
        <x:f>IF(O10=0,"主动伤害被防御完全抵消",IF(N10&gt;0,"受防御影响","无防御影响"))</x:f>
        <x:v>无防御影响</x:v>
      </x:c>
    </x:row>
    <x:row r="11" ht="15" hidden="0" customHeight="1">
      <x:c r="A11" s="60" t="str">
        <x:v>peasant</x:v>
      </x:c>
      <x:c r="B11" s="61" t="str">
        <x:v>barbarian</x:v>
      </x:c>
      <x:c r="C11" s="61" t="str">
        <x:f>VLOOKUP(A11,'01_Hero_Base'!$A$5:$P$12,4,FALSE)</x:f>
        <x:v>Physical</x:v>
      </x:c>
      <x:c r="D11" s="61" t="str">
        <x:f>VLOOKUP(B11,'01_Hero_Base'!$A$5:$P$12,4,FALSE)</x:f>
        <x:v>Physical</x:v>
      </x:c>
      <x:c r="E11" s="68" t="n">
        <x:f>VLOOKUP(A11,'01_Hero_Base'!$A$5:$P$12,5,FALSE)</x:f>
        <x:v>1</x:v>
      </x:c>
      <x:c r="F11" s="68" t="n">
        <x:f>VLOOKUP(A11,'01_Hero_Base'!$A$5:$P$12,6,FALSE)</x:f>
        <x:v>2</x:v>
      </x:c>
      <x:c r="G11" s="68" t="n">
        <x:f>VLOOKUP(B11,'01_Hero_Base'!$A$5:$P$12,6,FALSE)</x:f>
        <x:v>4</x:v>
      </x:c>
      <x:c r="H11" s="68" t="n">
        <x:f>VLOOKUP(B11,'01_Hero_Base'!$A$5:$P$12,7,FALSE)</x:f>
        <x:v>18</x:v>
      </x:c>
      <x:c r="I11" s="68" t="n">
        <x:f>VLOOKUP(B11,'01_Hero_Base'!$A$5:$P$12,15,FALSE)</x:f>
        <x:v>0</x:v>
      </x:c>
      <x:c r="J11" s="68" t="n">
        <x:f>VLOOKUP(B11,'01_Hero_Base'!$A$5:$P$12,16,FALSE)</x:f>
        <x:v>0</x:v>
      </x:c>
      <x:c r="K11" s="68" t="n">
        <x:f>VLOOKUP(A11,'01_Hero_Base'!$A$5:$P$12,15,FALSE)</x:f>
        <x:v>0</x:v>
      </x:c>
      <x:c r="L11" s="68" t="n">
        <x:f>VLOOKUP(A11,'01_Hero_Base'!$A$5:$P$12,16,FALSE)</x:f>
        <x:v>0</x:v>
      </x:c>
      <x:c r="M11" s="68" t="n">
        <x:f>F11</x:f>
        <x:v>2</x:v>
      </x:c>
      <x:c r="N11" s="68" t="n">
        <x:f>IF(C11="Physical",I11,IF(C11="Magical",J11,0))</x:f>
        <x:v>0</x:v>
      </x:c>
      <x:c r="O11" s="74" t="n">
        <x:f>MAX(0,M11-N11)</x:f>
        <x:v>2</x:v>
      </x:c>
      <x:c r="P11" s="68" t="n">
        <x:f>MAX(0,G11-'00_Assumptions'!$C$10)</x:f>
        <x:v>3</x:v>
      </x:c>
      <x:c r="Q11" s="68" t="n">
        <x:f>IF(D11="Physical",K11,IF(D11="Magical",L11,0))</x:f>
        <x:v>0</x:v>
      </x:c>
      <x:c r="R11" s="77" t="n">
        <x:f>MAX(0,P11-Q11)</x:f>
        <x:v>3</x:v>
      </x:c>
      <x:c r="S11" s="68" t="n">
        <x:f>O11-R11</x:f>
        <x:v>-1</x:v>
      </x:c>
      <x:c r="T11" s="71" t="n">
        <x:f>IF(E11=0,0,O11/E11)</x:f>
        <x:v>2</x:v>
      </x:c>
      <x:c r="U11" s="80" t="n">
        <x:f>IF(O11=0,"∞",ROUNDUP(H11/O11,0))</x:f>
        <x:v>9</x:v>
      </x:c>
      <x:c r="V11" s="68" t="str">
        <x:f>IF(R11&gt;=3,"高",IF(R11&gt;=2,"中","低"))</x:f>
        <x:v>高</x:v>
      </x:c>
      <x:c r="W11" s="89" t="str">
        <x:f>IF(O11=0,"主动伤害被防御完全抵消",IF(N11&gt;0,"受防御影响","无防御影响"))</x:f>
        <x:v>无防御影响</x:v>
      </x:c>
    </x:row>
    <x:row r="12" ht="15" hidden="0" customHeight="1">
      <x:c r="A12" s="60" t="str">
        <x:v>peasant</x:v>
      </x:c>
      <x:c r="B12" s="61" t="str">
        <x:v>monster</x:v>
      </x:c>
      <x:c r="C12" s="61" t="str">
        <x:f>VLOOKUP(A12,'01_Hero_Base'!$A$5:$P$12,4,FALSE)</x:f>
        <x:v>Physical</x:v>
      </x:c>
      <x:c r="D12" s="61" t="str">
        <x:f>VLOOKUP(B12,'01_Hero_Base'!$A$5:$P$12,4,FALSE)</x:f>
        <x:v>Physical</x:v>
      </x:c>
      <x:c r="E12" s="68" t="n">
        <x:f>VLOOKUP(A12,'01_Hero_Base'!$A$5:$P$12,5,FALSE)</x:f>
        <x:v>1</x:v>
      </x:c>
      <x:c r="F12" s="68" t="n">
        <x:f>VLOOKUP(A12,'01_Hero_Base'!$A$5:$P$12,6,FALSE)</x:f>
        <x:v>2</x:v>
      </x:c>
      <x:c r="G12" s="68" t="n">
        <x:f>VLOOKUP(B12,'01_Hero_Base'!$A$5:$P$12,6,FALSE)</x:f>
        <x:v>3</x:v>
      </x:c>
      <x:c r="H12" s="68" t="n">
        <x:f>VLOOKUP(B12,'01_Hero_Base'!$A$5:$P$12,7,FALSE)</x:f>
        <x:v>22</x:v>
      </x:c>
      <x:c r="I12" s="68" t="n">
        <x:f>VLOOKUP(B12,'01_Hero_Base'!$A$5:$P$12,15,FALSE)</x:f>
        <x:v>1</x:v>
      </x:c>
      <x:c r="J12" s="68" t="n">
        <x:f>VLOOKUP(B12,'01_Hero_Base'!$A$5:$P$12,16,FALSE)</x:f>
        <x:v>0</x:v>
      </x:c>
      <x:c r="K12" s="68" t="n">
        <x:f>VLOOKUP(A12,'01_Hero_Base'!$A$5:$P$12,15,FALSE)</x:f>
        <x:v>0</x:v>
      </x:c>
      <x:c r="L12" s="68" t="n">
        <x:f>VLOOKUP(A12,'01_Hero_Base'!$A$5:$P$12,16,FALSE)</x:f>
        <x:v>0</x:v>
      </x:c>
      <x:c r="M12" s="68" t="n">
        <x:f>F12</x:f>
        <x:v>2</x:v>
      </x:c>
      <x:c r="N12" s="68" t="n">
        <x:f>IF(C12="Physical",I12,IF(C12="Magical",J12,0))</x:f>
        <x:v>1</x:v>
      </x:c>
      <x:c r="O12" s="74" t="n">
        <x:f>MAX(0,M12-N12)</x:f>
        <x:v>1</x:v>
      </x:c>
      <x:c r="P12" s="68" t="n">
        <x:f>MAX(0,G12-'00_Assumptions'!$C$10)</x:f>
        <x:v>2</x:v>
      </x:c>
      <x:c r="Q12" s="68" t="n">
        <x:f>IF(D12="Physical",K12,IF(D12="Magical",L12,0))</x:f>
        <x:v>0</x:v>
      </x:c>
      <x:c r="R12" s="77" t="n">
        <x:f>MAX(0,P12-Q12)</x:f>
        <x:v>2</x:v>
      </x:c>
      <x:c r="S12" s="68" t="n">
        <x:f>O12-R12</x:f>
        <x:v>-1</x:v>
      </x:c>
      <x:c r="T12" s="71" t="n">
        <x:f>IF(E12=0,0,O12/E12)</x:f>
        <x:v>1</x:v>
      </x:c>
      <x:c r="U12" s="80" t="n">
        <x:f>IF(O12=0,"∞",ROUNDUP(H12/O12,0))</x:f>
        <x:v>22</x:v>
      </x:c>
      <x:c r="V12" s="68" t="str">
        <x:f>IF(R12&gt;=3,"高",IF(R12&gt;=2,"中","低"))</x:f>
        <x:v>中</x:v>
      </x:c>
      <x:c r="W12" s="89" t="str">
        <x:f>IF(O12=0,"主动伤害被防御完全抵消",IF(N12&gt;0,"受防御影响","无防御影响"))</x:f>
        <x:v>受防御影响</x:v>
      </x:c>
    </x:row>
    <x:row r="13" ht="15" hidden="0" customHeight="1">
      <x:c r="A13" s="60" t="str">
        <x:v>princess</x:v>
      </x:c>
      <x:c r="B13" s="61" t="str">
        <x:v>peasant</x:v>
      </x:c>
      <x:c r="C13" s="61" t="str">
        <x:f>VLOOKUP(A13,'01_Hero_Base'!$A$5:$P$12,4,FALSE)</x:f>
        <x:v>Physical</x:v>
      </x:c>
      <x:c r="D13" s="61" t="str">
        <x:f>VLOOKUP(B13,'01_Hero_Base'!$A$5:$P$12,4,FALSE)</x:f>
        <x:v>Physical</x:v>
      </x:c>
      <x:c r="E13" s="68" t="n">
        <x:f>VLOOKUP(A13,'01_Hero_Base'!$A$5:$P$12,5,FALSE)</x:f>
        <x:v>1</x:v>
      </x:c>
      <x:c r="F13" s="68" t="n">
        <x:f>VLOOKUP(A13,'01_Hero_Base'!$A$5:$P$12,6,FALSE)</x:f>
        <x:v>1</x:v>
      </x:c>
      <x:c r="G13" s="68" t="n">
        <x:f>VLOOKUP(B13,'01_Hero_Base'!$A$5:$P$12,6,FALSE)</x:f>
        <x:v>2</x:v>
      </x:c>
      <x:c r="H13" s="68" t="n">
        <x:f>VLOOKUP(B13,'01_Hero_Base'!$A$5:$P$12,7,FALSE)</x:f>
        <x:v>16</x:v>
      </x:c>
      <x:c r="I13" s="68" t="n">
        <x:f>VLOOKUP(B13,'01_Hero_Base'!$A$5:$P$12,15,FALSE)</x:f>
        <x:v>0</x:v>
      </x:c>
      <x:c r="J13" s="68" t="n">
        <x:f>VLOOKUP(B13,'01_Hero_Base'!$A$5:$P$12,16,FALSE)</x:f>
        <x:v>0</x:v>
      </x:c>
      <x:c r="K13" s="68" t="n">
        <x:f>VLOOKUP(A13,'01_Hero_Base'!$A$5:$P$12,15,FALSE)</x:f>
        <x:v>0</x:v>
      </x:c>
      <x:c r="L13" s="68" t="n">
        <x:f>VLOOKUP(A13,'01_Hero_Base'!$A$5:$P$12,16,FALSE)</x:f>
        <x:v>0</x:v>
      </x:c>
      <x:c r="M13" s="68" t="n">
        <x:f>F13</x:f>
        <x:v>1</x:v>
      </x:c>
      <x:c r="N13" s="68" t="n">
        <x:f>IF(C13="Physical",I13,IF(C13="Magical",J13,0))</x:f>
        <x:v>0</x:v>
      </x:c>
      <x:c r="O13" s="74" t="n">
        <x:f>MAX(0,M13-N13)</x:f>
        <x:v>1</x:v>
      </x:c>
      <x:c r="P13" s="68" t="n">
        <x:f>MAX(0,G13-'00_Assumptions'!$C$10)</x:f>
        <x:v>1</x:v>
      </x:c>
      <x:c r="Q13" s="68" t="n">
        <x:f>IF(D13="Physical",K13,IF(D13="Magical",L13,0))</x:f>
        <x:v>0</x:v>
      </x:c>
      <x:c r="R13" s="77" t="n">
        <x:f>MAX(0,P13-Q13)</x:f>
        <x:v>1</x:v>
      </x:c>
      <x:c r="S13" s="68" t="n">
        <x:f>O13-R13</x:f>
        <x:v>0</x:v>
      </x:c>
      <x:c r="T13" s="71" t="n">
        <x:f>IF(E13=0,0,O13/E13)</x:f>
        <x:v>1</x:v>
      </x:c>
      <x:c r="U13" s="80" t="n">
        <x:f>IF(O13=0,"∞",ROUNDUP(H13/O13,0))</x:f>
        <x:v>16</x:v>
      </x:c>
      <x:c r="V13" s="68" t="str">
        <x:f>IF(R13&gt;=3,"高",IF(R13&gt;=2,"中","低"))</x:f>
        <x:v>低</x:v>
      </x:c>
      <x:c r="W13" s="89" t="str">
        <x:f>IF(O13=0,"主动伤害被防御完全抵消",IF(N13&gt;0,"受防御影响","无防御影响"))</x:f>
        <x:v>无防御影响</x:v>
      </x:c>
    </x:row>
    <x:row r="14" ht="15" hidden="0" customHeight="1">
      <x:c r="A14" s="60" t="str">
        <x:v>princess</x:v>
      </x:c>
      <x:c r="B14" s="61" t="str">
        <x:v>princess</x:v>
      </x:c>
      <x:c r="C14" s="61" t="str">
        <x:f>VLOOKUP(A14,'01_Hero_Base'!$A$5:$P$12,4,FALSE)</x:f>
        <x:v>Physical</x:v>
      </x:c>
      <x:c r="D14" s="61" t="str">
        <x:f>VLOOKUP(B14,'01_Hero_Base'!$A$5:$P$12,4,FALSE)</x:f>
        <x:v>Physical</x:v>
      </x:c>
      <x:c r="E14" s="68" t="n">
        <x:f>VLOOKUP(A14,'01_Hero_Base'!$A$5:$P$12,5,FALSE)</x:f>
        <x:v>1</x:v>
      </x:c>
      <x:c r="F14" s="68" t="n">
        <x:f>VLOOKUP(A14,'01_Hero_Base'!$A$5:$P$12,6,FALSE)</x:f>
        <x:v>1</x:v>
      </x:c>
      <x:c r="G14" s="68" t="n">
        <x:f>VLOOKUP(B14,'01_Hero_Base'!$A$5:$P$12,6,FALSE)</x:f>
        <x:v>1</x:v>
      </x:c>
      <x:c r="H14" s="68" t="n">
        <x:f>VLOOKUP(B14,'01_Hero_Base'!$A$5:$P$12,7,FALSE)</x:f>
        <x:v>12</x:v>
      </x:c>
      <x:c r="I14" s="68" t="n">
        <x:f>VLOOKUP(B14,'01_Hero_Base'!$A$5:$P$12,15,FALSE)</x:f>
        <x:v>0</x:v>
      </x:c>
      <x:c r="J14" s="68" t="n">
        <x:f>VLOOKUP(B14,'01_Hero_Base'!$A$5:$P$12,16,FALSE)</x:f>
        <x:v>0</x:v>
      </x:c>
      <x:c r="K14" s="68" t="n">
        <x:f>VLOOKUP(A14,'01_Hero_Base'!$A$5:$P$12,15,FALSE)</x:f>
        <x:v>0</x:v>
      </x:c>
      <x:c r="L14" s="68" t="n">
        <x:f>VLOOKUP(A14,'01_Hero_Base'!$A$5:$P$12,16,FALSE)</x:f>
        <x:v>0</x:v>
      </x:c>
      <x:c r="M14" s="68" t="n">
        <x:f>F14</x:f>
        <x:v>1</x:v>
      </x:c>
      <x:c r="N14" s="68" t="n">
        <x:f>IF(C14="Physical",I14,IF(C14="Magical",J14,0))</x:f>
        <x:v>0</x:v>
      </x:c>
      <x:c r="O14" s="74" t="n">
        <x:f>MAX(0,M14-N14)</x:f>
        <x:v>1</x:v>
      </x:c>
      <x:c r="P14" s="68" t="n">
        <x:f>MAX(0,G14-'00_Assumptions'!$C$10)</x:f>
        <x:v>0</x:v>
      </x:c>
      <x:c r="Q14" s="68" t="n">
        <x:f>IF(D14="Physical",K14,IF(D14="Magical",L14,0))</x:f>
        <x:v>0</x:v>
      </x:c>
      <x:c r="R14" s="77" t="n">
        <x:f>MAX(0,P14-Q14)</x:f>
        <x:v>0</x:v>
      </x:c>
      <x:c r="S14" s="68" t="n">
        <x:f>O14-R14</x:f>
        <x:v>1</x:v>
      </x:c>
      <x:c r="T14" s="71" t="n">
        <x:f>IF(E14=0,0,O14/E14)</x:f>
        <x:v>1</x:v>
      </x:c>
      <x:c r="U14" s="80" t="n">
        <x:f>IF(O14=0,"∞",ROUNDUP(H14/O14,0))</x:f>
        <x:v>12</x:v>
      </x:c>
      <x:c r="V14" s="68" t="str">
        <x:f>IF(R14&gt;=3,"高",IF(R14&gt;=2,"中","低"))</x:f>
        <x:v>低</x:v>
      </x:c>
      <x:c r="W14" s="89" t="str">
        <x:f>IF(O14=0,"主动伤害被防御完全抵消",IF(N14&gt;0,"受防御影响","无防御影响"))</x:f>
        <x:v>无防御影响</x:v>
      </x:c>
    </x:row>
    <x:row r="15" ht="15" hidden="0" customHeight="1">
      <x:c r="A15" s="60" t="str">
        <x:v>princess</x:v>
      </x:c>
      <x:c r="B15" s="61" t="str">
        <x:v>mage</x:v>
      </x:c>
      <x:c r="C15" s="61" t="str">
        <x:f>VLOOKUP(A15,'01_Hero_Base'!$A$5:$P$12,4,FALSE)</x:f>
        <x:v>Physical</x:v>
      </x:c>
      <x:c r="D15" s="61" t="str">
        <x:f>VLOOKUP(B15,'01_Hero_Base'!$A$5:$P$12,4,FALSE)</x:f>
        <x:v>Magical</x:v>
      </x:c>
      <x:c r="E15" s="68" t="n">
        <x:f>VLOOKUP(A15,'01_Hero_Base'!$A$5:$P$12,5,FALSE)</x:f>
        <x:v>1</x:v>
      </x:c>
      <x:c r="F15" s="68" t="n">
        <x:f>VLOOKUP(A15,'01_Hero_Base'!$A$5:$P$12,6,FALSE)</x:f>
        <x:v>1</x:v>
      </x:c>
      <x:c r="G15" s="68" t="n">
        <x:f>VLOOKUP(B15,'01_Hero_Base'!$A$5:$P$12,6,FALSE)</x:f>
        <x:v>4</x:v>
      </x:c>
      <x:c r="H15" s="68" t="n">
        <x:f>VLOOKUP(B15,'01_Hero_Base'!$A$5:$P$12,7,FALSE)</x:f>
        <x:v>16</x:v>
      </x:c>
      <x:c r="I15" s="68" t="n">
        <x:f>VLOOKUP(B15,'01_Hero_Base'!$A$5:$P$12,15,FALSE)</x:f>
        <x:v>0</x:v>
      </x:c>
      <x:c r="J15" s="68" t="n">
        <x:f>VLOOKUP(B15,'01_Hero_Base'!$A$5:$P$12,16,FALSE)</x:f>
        <x:v>0</x:v>
      </x:c>
      <x:c r="K15" s="68" t="n">
        <x:f>VLOOKUP(A15,'01_Hero_Base'!$A$5:$P$12,15,FALSE)</x:f>
        <x:v>0</x:v>
      </x:c>
      <x:c r="L15" s="68" t="n">
        <x:f>VLOOKUP(A15,'01_Hero_Base'!$A$5:$P$12,16,FALSE)</x:f>
        <x:v>0</x:v>
      </x:c>
      <x:c r="M15" s="68" t="n">
        <x:f>F15</x:f>
        <x:v>1</x:v>
      </x:c>
      <x:c r="N15" s="68" t="n">
        <x:f>IF(C15="Physical",I15,IF(C15="Magical",J15,0))</x:f>
        <x:v>0</x:v>
      </x:c>
      <x:c r="O15" s="74" t="n">
        <x:f>MAX(0,M15-N15)</x:f>
        <x:v>1</x:v>
      </x:c>
      <x:c r="P15" s="68" t="n">
        <x:f>MAX(0,G15-'00_Assumptions'!$C$10)</x:f>
        <x:v>3</x:v>
      </x:c>
      <x:c r="Q15" s="68" t="n">
        <x:f>IF(D15="Physical",K15,IF(D15="Magical",L15,0))</x:f>
        <x:v>0</x:v>
      </x:c>
      <x:c r="R15" s="77" t="n">
        <x:f>MAX(0,P15-Q15)</x:f>
        <x:v>3</x:v>
      </x:c>
      <x:c r="S15" s="68" t="n">
        <x:f>O15-R15</x:f>
        <x:v>-2</x:v>
      </x:c>
      <x:c r="T15" s="71" t="n">
        <x:f>IF(E15=0,0,O15/E15)</x:f>
        <x:v>1</x:v>
      </x:c>
      <x:c r="U15" s="80" t="n">
        <x:f>IF(O15=0,"∞",ROUNDUP(H15/O15,0))</x:f>
        <x:v>16</x:v>
      </x:c>
      <x:c r="V15" s="68" t="str">
        <x:f>IF(R15&gt;=3,"高",IF(R15&gt;=2,"中","低"))</x:f>
        <x:v>高</x:v>
      </x:c>
      <x:c r="W15" s="89" t="str">
        <x:f>IF(O15=0,"主动伤害被防御完全抵消",IF(N15&gt;0,"受防御影响","无防御影响"))</x:f>
        <x:v>无防御影响</x:v>
      </x:c>
    </x:row>
    <x:row r="16" ht="15" hidden="0" customHeight="1">
      <x:c r="A16" s="60" t="str">
        <x:v>princess</x:v>
      </x:c>
      <x:c r="B16" s="61" t="str">
        <x:v>oracle</x:v>
      </x:c>
      <x:c r="C16" s="61" t="str">
        <x:f>VLOOKUP(A16,'01_Hero_Base'!$A$5:$P$12,4,FALSE)</x:f>
        <x:v>Physical</x:v>
      </x:c>
      <x:c r="D16" s="61" t="str">
        <x:f>VLOOKUP(B16,'01_Hero_Base'!$A$5:$P$12,4,FALSE)</x:f>
        <x:v>Magical</x:v>
      </x:c>
      <x:c r="E16" s="68" t="n">
        <x:f>VLOOKUP(A16,'01_Hero_Base'!$A$5:$P$12,5,FALSE)</x:f>
        <x:v>1</x:v>
      </x:c>
      <x:c r="F16" s="68" t="n">
        <x:f>VLOOKUP(A16,'01_Hero_Base'!$A$5:$P$12,6,FALSE)</x:f>
        <x:v>1</x:v>
      </x:c>
      <x:c r="G16" s="68" t="n">
        <x:f>VLOOKUP(B16,'01_Hero_Base'!$A$5:$P$12,6,FALSE)</x:f>
        <x:v>1</x:v>
      </x:c>
      <x:c r="H16" s="68" t="n">
        <x:f>VLOOKUP(B16,'01_Hero_Base'!$A$5:$P$12,7,FALSE)</x:f>
        <x:v>14</x:v>
      </x:c>
      <x:c r="I16" s="68" t="n">
        <x:f>VLOOKUP(B16,'01_Hero_Base'!$A$5:$P$12,15,FALSE)</x:f>
        <x:v>0</x:v>
      </x:c>
      <x:c r="J16" s="68" t="n">
        <x:f>VLOOKUP(B16,'01_Hero_Base'!$A$5:$P$12,16,FALSE)</x:f>
        <x:v>1</x:v>
      </x:c>
      <x:c r="K16" s="68" t="n">
        <x:f>VLOOKUP(A16,'01_Hero_Base'!$A$5:$P$12,15,FALSE)</x:f>
        <x:v>0</x:v>
      </x:c>
      <x:c r="L16" s="68" t="n">
        <x:f>VLOOKUP(A16,'01_Hero_Base'!$A$5:$P$12,16,FALSE)</x:f>
        <x:v>0</x:v>
      </x:c>
      <x:c r="M16" s="68" t="n">
        <x:f>F16</x:f>
        <x:v>1</x:v>
      </x:c>
      <x:c r="N16" s="68" t="n">
        <x:f>IF(C16="Physical",I16,IF(C16="Magical",J16,0))</x:f>
        <x:v>0</x:v>
      </x:c>
      <x:c r="O16" s="74" t="n">
        <x:f>MAX(0,M16-N16)</x:f>
        <x:v>1</x:v>
      </x:c>
      <x:c r="P16" s="68" t="n">
        <x:f>MAX(0,G16-'00_Assumptions'!$C$10)</x:f>
        <x:v>0</x:v>
      </x:c>
      <x:c r="Q16" s="68" t="n">
        <x:f>IF(D16="Physical",K16,IF(D16="Magical",L16,0))</x:f>
        <x:v>0</x:v>
      </x:c>
      <x:c r="R16" s="77" t="n">
        <x:f>MAX(0,P16-Q16)</x:f>
        <x:v>0</x:v>
      </x:c>
      <x:c r="S16" s="68" t="n">
        <x:f>O16-R16</x:f>
        <x:v>1</x:v>
      </x:c>
      <x:c r="T16" s="71" t="n">
        <x:f>IF(E16=0,0,O16/E16)</x:f>
        <x:v>1</x:v>
      </x:c>
      <x:c r="U16" s="80" t="n">
        <x:f>IF(O16=0,"∞",ROUNDUP(H16/O16,0))</x:f>
        <x:v>14</x:v>
      </x:c>
      <x:c r="V16" s="68" t="str">
        <x:f>IF(R16&gt;=3,"高",IF(R16&gt;=2,"中","低"))</x:f>
        <x:v>低</x:v>
      </x:c>
      <x:c r="W16" s="89" t="str">
        <x:f>IF(O16=0,"主动伤害被防御完全抵消",IF(N16&gt;0,"受防御影响","无防御影响"))</x:f>
        <x:v>无防御影响</x:v>
      </x:c>
    </x:row>
    <x:row r="17" ht="15" hidden="0" customHeight="1">
      <x:c r="A17" s="60" t="str">
        <x:v>princess</x:v>
      </x:c>
      <x:c r="B17" s="61" t="str">
        <x:v>knight</x:v>
      </x:c>
      <x:c r="C17" s="61" t="str">
        <x:f>VLOOKUP(A17,'01_Hero_Base'!$A$5:$P$12,4,FALSE)</x:f>
        <x:v>Physical</x:v>
      </x:c>
      <x:c r="D17" s="61" t="str">
        <x:f>VLOOKUP(B17,'01_Hero_Base'!$A$5:$P$12,4,FALSE)</x:f>
        <x:v>Physical</x:v>
      </x:c>
      <x:c r="E17" s="68" t="n">
        <x:f>VLOOKUP(A17,'01_Hero_Base'!$A$5:$P$12,5,FALSE)</x:f>
        <x:v>1</x:v>
      </x:c>
      <x:c r="F17" s="68" t="n">
        <x:f>VLOOKUP(A17,'01_Hero_Base'!$A$5:$P$12,6,FALSE)</x:f>
        <x:v>1</x:v>
      </x:c>
      <x:c r="G17" s="68" t="n">
        <x:f>VLOOKUP(B17,'01_Hero_Base'!$A$5:$P$12,6,FALSE)</x:f>
        <x:v>3</x:v>
      </x:c>
      <x:c r="H17" s="68" t="n">
        <x:f>VLOOKUP(B17,'01_Hero_Base'!$A$5:$P$12,7,FALSE)</x:f>
        <x:v>24</x:v>
      </x:c>
      <x:c r="I17" s="68" t="n">
        <x:f>VLOOKUP(B17,'01_Hero_Base'!$A$5:$P$12,15,FALSE)</x:f>
        <x:v>1</x:v>
      </x:c>
      <x:c r="J17" s="68" t="n">
        <x:f>VLOOKUP(B17,'01_Hero_Base'!$A$5:$P$12,16,FALSE)</x:f>
        <x:v>0</x:v>
      </x:c>
      <x:c r="K17" s="68" t="n">
        <x:f>VLOOKUP(A17,'01_Hero_Base'!$A$5:$P$12,15,FALSE)</x:f>
        <x:v>0</x:v>
      </x:c>
      <x:c r="L17" s="68" t="n">
        <x:f>VLOOKUP(A17,'01_Hero_Base'!$A$5:$P$12,16,FALSE)</x:f>
        <x:v>0</x:v>
      </x:c>
      <x:c r="M17" s="68" t="n">
        <x:f>F17</x:f>
        <x:v>1</x:v>
      </x:c>
      <x:c r="N17" s="68" t="n">
        <x:f>IF(C17="Physical",I17,IF(C17="Magical",J17,0))</x:f>
        <x:v>1</x:v>
      </x:c>
      <x:c r="O17" s="74" t="n">
        <x:f>MAX(0,M17-N17)</x:f>
        <x:v>0</x:v>
      </x:c>
      <x:c r="P17" s="68" t="n">
        <x:f>MAX(0,G17-'00_Assumptions'!$C$10)</x:f>
        <x:v>2</x:v>
      </x:c>
      <x:c r="Q17" s="68" t="n">
        <x:f>IF(D17="Physical",K17,IF(D17="Magical",L17,0))</x:f>
        <x:v>0</x:v>
      </x:c>
      <x:c r="R17" s="77" t="n">
        <x:f>MAX(0,P17-Q17)</x:f>
        <x:v>2</x:v>
      </x:c>
      <x:c r="S17" s="68" t="n">
        <x:f>O17-R17</x:f>
        <x:v>-2</x:v>
      </x:c>
      <x:c r="T17" s="71" t="n">
        <x:f>IF(E17=0,0,O17/E17)</x:f>
        <x:v>0</x:v>
      </x:c>
      <x:c r="U17" s="80" t="str">
        <x:f>IF(O17=0,"∞",ROUNDUP(H17/O17,0))</x:f>
        <x:v>∞</x:v>
      </x:c>
      <x:c r="V17" s="68" t="str">
        <x:f>IF(R17&gt;=3,"高",IF(R17&gt;=2,"中","低"))</x:f>
        <x:v>中</x:v>
      </x:c>
      <x:c r="W17" s="89" t="str">
        <x:f>IF(O17=0,"主动伤害被防御完全抵消",IF(N17&gt;0,"受防御影响","无防御影响"))</x:f>
        <x:v>主动伤害被防御完全抵消</x:v>
      </x:c>
    </x:row>
    <x:row r="18" ht="15" hidden="0" customHeight="1">
      <x:c r="A18" s="60" t="str">
        <x:v>princess</x:v>
      </x:c>
      <x:c r="B18" s="61" t="str">
        <x:v>druid</x:v>
      </x:c>
      <x:c r="C18" s="61" t="str">
        <x:f>VLOOKUP(A18,'01_Hero_Base'!$A$5:$P$12,4,FALSE)</x:f>
        <x:v>Physical</x:v>
      </x:c>
      <x:c r="D18" s="61" t="str">
        <x:f>VLOOKUP(B18,'01_Hero_Base'!$A$5:$P$12,4,FALSE)</x:f>
        <x:v>Magical</x:v>
      </x:c>
      <x:c r="E18" s="68" t="n">
        <x:f>VLOOKUP(A18,'01_Hero_Base'!$A$5:$P$12,5,FALSE)</x:f>
        <x:v>1</x:v>
      </x:c>
      <x:c r="F18" s="68" t="n">
        <x:f>VLOOKUP(A18,'01_Hero_Base'!$A$5:$P$12,6,FALSE)</x:f>
        <x:v>1</x:v>
      </x:c>
      <x:c r="G18" s="68" t="n">
        <x:f>VLOOKUP(B18,'01_Hero_Base'!$A$5:$P$12,6,FALSE)</x:f>
        <x:v>1</x:v>
      </x:c>
      <x:c r="H18" s="68" t="n">
        <x:f>VLOOKUP(B18,'01_Hero_Base'!$A$5:$P$12,7,FALSE)</x:f>
        <x:v>16</x:v>
      </x:c>
      <x:c r="I18" s="68" t="n">
        <x:f>VLOOKUP(B18,'01_Hero_Base'!$A$5:$P$12,15,FALSE)</x:f>
        <x:v>0</x:v>
      </x:c>
      <x:c r="J18" s="68" t="n">
        <x:f>VLOOKUP(B18,'01_Hero_Base'!$A$5:$P$12,16,FALSE)</x:f>
        <x:v>1</x:v>
      </x:c>
      <x:c r="K18" s="68" t="n">
        <x:f>VLOOKUP(A18,'01_Hero_Base'!$A$5:$P$12,15,FALSE)</x:f>
        <x:v>0</x:v>
      </x:c>
      <x:c r="L18" s="68" t="n">
        <x:f>VLOOKUP(A18,'01_Hero_Base'!$A$5:$P$12,16,FALSE)</x:f>
        <x:v>0</x:v>
      </x:c>
      <x:c r="M18" s="68" t="n">
        <x:f>F18</x:f>
        <x:v>1</x:v>
      </x:c>
      <x:c r="N18" s="68" t="n">
        <x:f>IF(C18="Physical",I18,IF(C18="Magical",J18,0))</x:f>
        <x:v>0</x:v>
      </x:c>
      <x:c r="O18" s="74" t="n">
        <x:f>MAX(0,M18-N18)</x:f>
        <x:v>1</x:v>
      </x:c>
      <x:c r="P18" s="68" t="n">
        <x:f>MAX(0,G18-'00_Assumptions'!$C$10)</x:f>
        <x:v>0</x:v>
      </x:c>
      <x:c r="Q18" s="68" t="n">
        <x:f>IF(D18="Physical",K18,IF(D18="Magical",L18,0))</x:f>
        <x:v>0</x:v>
      </x:c>
      <x:c r="R18" s="77" t="n">
        <x:f>MAX(0,P18-Q18)</x:f>
        <x:v>0</x:v>
      </x:c>
      <x:c r="S18" s="68" t="n">
        <x:f>O18-R18</x:f>
        <x:v>1</x:v>
      </x:c>
      <x:c r="T18" s="71" t="n">
        <x:f>IF(E18=0,0,O18/E18)</x:f>
        <x:v>1</x:v>
      </x:c>
      <x:c r="U18" s="80" t="n">
        <x:f>IF(O18=0,"∞",ROUNDUP(H18/O18,0))</x:f>
        <x:v>16</x:v>
      </x:c>
      <x:c r="V18" s="68" t="str">
        <x:f>IF(R18&gt;=3,"高",IF(R18&gt;=2,"中","低"))</x:f>
        <x:v>低</x:v>
      </x:c>
      <x:c r="W18" s="89" t="str">
        <x:f>IF(O18=0,"主动伤害被防御完全抵消",IF(N18&gt;0,"受防御影响","无防御影响"))</x:f>
        <x:v>无防御影响</x:v>
      </x:c>
    </x:row>
    <x:row r="19" ht="15" hidden="0" customHeight="1">
      <x:c r="A19" s="60" t="str">
        <x:v>princess</x:v>
      </x:c>
      <x:c r="B19" s="61" t="str">
        <x:v>barbarian</x:v>
      </x:c>
      <x:c r="C19" s="61" t="str">
        <x:f>VLOOKUP(A19,'01_Hero_Base'!$A$5:$P$12,4,FALSE)</x:f>
        <x:v>Physical</x:v>
      </x:c>
      <x:c r="D19" s="61" t="str">
        <x:f>VLOOKUP(B19,'01_Hero_Base'!$A$5:$P$12,4,FALSE)</x:f>
        <x:v>Physical</x:v>
      </x:c>
      <x:c r="E19" s="68" t="n">
        <x:f>VLOOKUP(A19,'01_Hero_Base'!$A$5:$P$12,5,FALSE)</x:f>
        <x:v>1</x:v>
      </x:c>
      <x:c r="F19" s="68" t="n">
        <x:f>VLOOKUP(A19,'01_Hero_Base'!$A$5:$P$12,6,FALSE)</x:f>
        <x:v>1</x:v>
      </x:c>
      <x:c r="G19" s="68" t="n">
        <x:f>VLOOKUP(B19,'01_Hero_Base'!$A$5:$P$12,6,FALSE)</x:f>
        <x:v>4</x:v>
      </x:c>
      <x:c r="H19" s="68" t="n">
        <x:f>VLOOKUP(B19,'01_Hero_Base'!$A$5:$P$12,7,FALSE)</x:f>
        <x:v>18</x:v>
      </x:c>
      <x:c r="I19" s="68" t="n">
        <x:f>VLOOKUP(B19,'01_Hero_Base'!$A$5:$P$12,15,FALSE)</x:f>
        <x:v>0</x:v>
      </x:c>
      <x:c r="J19" s="68" t="n">
        <x:f>VLOOKUP(B19,'01_Hero_Base'!$A$5:$P$12,16,FALSE)</x:f>
        <x:v>0</x:v>
      </x:c>
      <x:c r="K19" s="68" t="n">
        <x:f>VLOOKUP(A19,'01_Hero_Base'!$A$5:$P$12,15,FALSE)</x:f>
        <x:v>0</x:v>
      </x:c>
      <x:c r="L19" s="68" t="n">
        <x:f>VLOOKUP(A19,'01_Hero_Base'!$A$5:$P$12,16,FALSE)</x:f>
        <x:v>0</x:v>
      </x:c>
      <x:c r="M19" s="68" t="n">
        <x:f>F19</x:f>
        <x:v>1</x:v>
      </x:c>
      <x:c r="N19" s="68" t="n">
        <x:f>IF(C19="Physical",I19,IF(C19="Magical",J19,0))</x:f>
        <x:v>0</x:v>
      </x:c>
      <x:c r="O19" s="74" t="n">
        <x:f>MAX(0,M19-N19)</x:f>
        <x:v>1</x:v>
      </x:c>
      <x:c r="P19" s="68" t="n">
        <x:f>MAX(0,G19-'00_Assumptions'!$C$10)</x:f>
        <x:v>3</x:v>
      </x:c>
      <x:c r="Q19" s="68" t="n">
        <x:f>IF(D19="Physical",K19,IF(D19="Magical",L19,0))</x:f>
        <x:v>0</x:v>
      </x:c>
      <x:c r="R19" s="77" t="n">
        <x:f>MAX(0,P19-Q19)</x:f>
        <x:v>3</x:v>
      </x:c>
      <x:c r="S19" s="68" t="n">
        <x:f>O19-R19</x:f>
        <x:v>-2</x:v>
      </x:c>
      <x:c r="T19" s="71" t="n">
        <x:f>IF(E19=0,0,O19/E19)</x:f>
        <x:v>1</x:v>
      </x:c>
      <x:c r="U19" s="80" t="n">
        <x:f>IF(O19=0,"∞",ROUNDUP(H19/O19,0))</x:f>
        <x:v>18</x:v>
      </x:c>
      <x:c r="V19" s="68" t="str">
        <x:f>IF(R19&gt;=3,"高",IF(R19&gt;=2,"中","低"))</x:f>
        <x:v>高</x:v>
      </x:c>
      <x:c r="W19" s="89" t="str">
        <x:f>IF(O19=0,"主动伤害被防御完全抵消",IF(N19&gt;0,"受防御影响","无防御影响"))</x:f>
        <x:v>无防御影响</x:v>
      </x:c>
    </x:row>
    <x:row r="20" ht="15" hidden="0" customHeight="1">
      <x:c r="A20" s="60" t="str">
        <x:v>princess</x:v>
      </x:c>
      <x:c r="B20" s="61" t="str">
        <x:v>monster</x:v>
      </x:c>
      <x:c r="C20" s="61" t="str">
        <x:f>VLOOKUP(A20,'01_Hero_Base'!$A$5:$P$12,4,FALSE)</x:f>
        <x:v>Physical</x:v>
      </x:c>
      <x:c r="D20" s="61" t="str">
        <x:f>VLOOKUP(B20,'01_Hero_Base'!$A$5:$P$12,4,FALSE)</x:f>
        <x:v>Physical</x:v>
      </x:c>
      <x:c r="E20" s="68" t="n">
        <x:f>VLOOKUP(A20,'01_Hero_Base'!$A$5:$P$12,5,FALSE)</x:f>
        <x:v>1</x:v>
      </x:c>
      <x:c r="F20" s="68" t="n">
        <x:f>VLOOKUP(A20,'01_Hero_Base'!$A$5:$P$12,6,FALSE)</x:f>
        <x:v>1</x:v>
      </x:c>
      <x:c r="G20" s="68" t="n">
        <x:f>VLOOKUP(B20,'01_Hero_Base'!$A$5:$P$12,6,FALSE)</x:f>
        <x:v>3</x:v>
      </x:c>
      <x:c r="H20" s="68" t="n">
        <x:f>VLOOKUP(B20,'01_Hero_Base'!$A$5:$P$12,7,FALSE)</x:f>
        <x:v>22</x:v>
      </x:c>
      <x:c r="I20" s="68" t="n">
        <x:f>VLOOKUP(B20,'01_Hero_Base'!$A$5:$P$12,15,FALSE)</x:f>
        <x:v>1</x:v>
      </x:c>
      <x:c r="J20" s="68" t="n">
        <x:f>VLOOKUP(B20,'01_Hero_Base'!$A$5:$P$12,16,FALSE)</x:f>
        <x:v>0</x:v>
      </x:c>
      <x:c r="K20" s="68" t="n">
        <x:f>VLOOKUP(A20,'01_Hero_Base'!$A$5:$P$12,15,FALSE)</x:f>
        <x:v>0</x:v>
      </x:c>
      <x:c r="L20" s="68" t="n">
        <x:f>VLOOKUP(A20,'01_Hero_Base'!$A$5:$P$12,16,FALSE)</x:f>
        <x:v>0</x:v>
      </x:c>
      <x:c r="M20" s="68" t="n">
        <x:f>F20</x:f>
        <x:v>1</x:v>
      </x:c>
      <x:c r="N20" s="68" t="n">
        <x:f>IF(C20="Physical",I20,IF(C20="Magical",J20,0))</x:f>
        <x:v>1</x:v>
      </x:c>
      <x:c r="O20" s="74" t="n">
        <x:f>MAX(0,M20-N20)</x:f>
        <x:v>0</x:v>
      </x:c>
      <x:c r="P20" s="68" t="n">
        <x:f>MAX(0,G20-'00_Assumptions'!$C$10)</x:f>
        <x:v>2</x:v>
      </x:c>
      <x:c r="Q20" s="68" t="n">
        <x:f>IF(D20="Physical",K20,IF(D20="Magical",L20,0))</x:f>
        <x:v>0</x:v>
      </x:c>
      <x:c r="R20" s="77" t="n">
        <x:f>MAX(0,P20-Q20)</x:f>
        <x:v>2</x:v>
      </x:c>
      <x:c r="S20" s="68" t="n">
        <x:f>O20-R20</x:f>
        <x:v>-2</x:v>
      </x:c>
      <x:c r="T20" s="71" t="n">
        <x:f>IF(E20=0,0,O20/E20)</x:f>
        <x:v>0</x:v>
      </x:c>
      <x:c r="U20" s="80" t="str">
        <x:f>IF(O20=0,"∞",ROUNDUP(H20/O20,0))</x:f>
        <x:v>∞</x:v>
      </x:c>
      <x:c r="V20" s="68" t="str">
        <x:f>IF(R20&gt;=3,"高",IF(R20&gt;=2,"中","低"))</x:f>
        <x:v>中</x:v>
      </x:c>
      <x:c r="W20" s="89" t="str">
        <x:f>IF(O20=0,"主动伤害被防御完全抵消",IF(N20&gt;0,"受防御影响","无防御影响"))</x:f>
        <x:v>主动伤害被防御完全抵消</x:v>
      </x:c>
    </x:row>
    <x:row r="21" ht="15" hidden="0" customHeight="1">
      <x:c r="A21" s="60" t="str">
        <x:v>mage</x:v>
      </x:c>
      <x:c r="B21" s="61" t="str">
        <x:v>peasant</x:v>
      </x:c>
      <x:c r="C21" s="61" t="str">
        <x:f>VLOOKUP(A21,'01_Hero_Base'!$A$5:$P$12,4,FALSE)</x:f>
        <x:v>Magical</x:v>
      </x:c>
      <x:c r="D21" s="61" t="str">
        <x:f>VLOOKUP(B21,'01_Hero_Base'!$A$5:$P$12,4,FALSE)</x:f>
        <x:v>Physical</x:v>
      </x:c>
      <x:c r="E21" s="68" t="n">
        <x:f>VLOOKUP(A21,'01_Hero_Base'!$A$5:$P$12,5,FALSE)</x:f>
        <x:v>2</x:v>
      </x:c>
      <x:c r="F21" s="68" t="n">
        <x:f>VLOOKUP(A21,'01_Hero_Base'!$A$5:$P$12,6,FALSE)</x:f>
        <x:v>4</x:v>
      </x:c>
      <x:c r="G21" s="68" t="n">
        <x:f>VLOOKUP(B21,'01_Hero_Base'!$A$5:$P$12,6,FALSE)</x:f>
        <x:v>2</x:v>
      </x:c>
      <x:c r="H21" s="68" t="n">
        <x:f>VLOOKUP(B21,'01_Hero_Base'!$A$5:$P$12,7,FALSE)</x:f>
        <x:v>16</x:v>
      </x:c>
      <x:c r="I21" s="68" t="n">
        <x:f>VLOOKUP(B21,'01_Hero_Base'!$A$5:$P$12,15,FALSE)</x:f>
        <x:v>0</x:v>
      </x:c>
      <x:c r="J21" s="68" t="n">
        <x:f>VLOOKUP(B21,'01_Hero_Base'!$A$5:$P$12,16,FALSE)</x:f>
        <x:v>0</x:v>
      </x:c>
      <x:c r="K21" s="68" t="n">
        <x:f>VLOOKUP(A21,'01_Hero_Base'!$A$5:$P$12,15,FALSE)</x:f>
        <x:v>0</x:v>
      </x:c>
      <x:c r="L21" s="68" t="n">
        <x:f>VLOOKUP(A21,'01_Hero_Base'!$A$5:$P$12,16,FALSE)</x:f>
        <x:v>0</x:v>
      </x:c>
      <x:c r="M21" s="68" t="n">
        <x:f>F21</x:f>
        <x:v>4</x:v>
      </x:c>
      <x:c r="N21" s="68" t="n">
        <x:f>IF(C21="Physical",I21,IF(C21="Magical",J21,0))</x:f>
        <x:v>0</x:v>
      </x:c>
      <x:c r="O21" s="74" t="n">
        <x:f>MAX(0,M21-N21)</x:f>
        <x:v>4</x:v>
      </x:c>
      <x:c r="P21" s="68" t="n">
        <x:f>MAX(0,G21-'00_Assumptions'!$C$10)</x:f>
        <x:v>1</x:v>
      </x:c>
      <x:c r="Q21" s="68" t="n">
        <x:f>IF(D21="Physical",K21,IF(D21="Magical",L21,0))</x:f>
        <x:v>0</x:v>
      </x:c>
      <x:c r="R21" s="77" t="n">
        <x:f>MAX(0,P21-Q21)</x:f>
        <x:v>1</x:v>
      </x:c>
      <x:c r="S21" s="68" t="n">
        <x:f>O21-R21</x:f>
        <x:v>3</x:v>
      </x:c>
      <x:c r="T21" s="71" t="n">
        <x:f>IF(E21=0,0,O21/E21)</x:f>
        <x:v>2</x:v>
      </x:c>
      <x:c r="U21" s="80" t="n">
        <x:f>IF(O21=0,"∞",ROUNDUP(H21/O21,0))</x:f>
        <x:v>4</x:v>
      </x:c>
      <x:c r="V21" s="68" t="str">
        <x:f>IF(R21&gt;=3,"高",IF(R21&gt;=2,"中","低"))</x:f>
        <x:v>低</x:v>
      </x:c>
      <x:c r="W21" s="89" t="str">
        <x:f>IF(O21=0,"主动伤害被防御完全抵消",IF(N21&gt;0,"受防御影响","无防御影响"))</x:f>
        <x:v>无防御影响</x:v>
      </x:c>
    </x:row>
    <x:row r="22" ht="15" hidden="0" customHeight="1">
      <x:c r="A22" s="60" t="str">
        <x:v>mage</x:v>
      </x:c>
      <x:c r="B22" s="61" t="str">
        <x:v>princess</x:v>
      </x:c>
      <x:c r="C22" s="61" t="str">
        <x:f>VLOOKUP(A22,'01_Hero_Base'!$A$5:$P$12,4,FALSE)</x:f>
        <x:v>Magical</x:v>
      </x:c>
      <x:c r="D22" s="61" t="str">
        <x:f>VLOOKUP(B22,'01_Hero_Base'!$A$5:$P$12,4,FALSE)</x:f>
        <x:v>Physical</x:v>
      </x:c>
      <x:c r="E22" s="68" t="n">
        <x:f>VLOOKUP(A22,'01_Hero_Base'!$A$5:$P$12,5,FALSE)</x:f>
        <x:v>2</x:v>
      </x:c>
      <x:c r="F22" s="68" t="n">
        <x:f>VLOOKUP(A22,'01_Hero_Base'!$A$5:$P$12,6,FALSE)</x:f>
        <x:v>4</x:v>
      </x:c>
      <x:c r="G22" s="68" t="n">
        <x:f>VLOOKUP(B22,'01_Hero_Base'!$A$5:$P$12,6,FALSE)</x:f>
        <x:v>1</x:v>
      </x:c>
      <x:c r="H22" s="68" t="n">
        <x:f>VLOOKUP(B22,'01_Hero_Base'!$A$5:$P$12,7,FALSE)</x:f>
        <x:v>12</x:v>
      </x:c>
      <x:c r="I22" s="68" t="n">
        <x:f>VLOOKUP(B22,'01_Hero_Base'!$A$5:$P$12,15,FALSE)</x:f>
        <x:v>0</x:v>
      </x:c>
      <x:c r="J22" s="68" t="n">
        <x:f>VLOOKUP(B22,'01_Hero_Base'!$A$5:$P$12,16,FALSE)</x:f>
        <x:v>0</x:v>
      </x:c>
      <x:c r="K22" s="68" t="n">
        <x:f>VLOOKUP(A22,'01_Hero_Base'!$A$5:$P$12,15,FALSE)</x:f>
        <x:v>0</x:v>
      </x:c>
      <x:c r="L22" s="68" t="n">
        <x:f>VLOOKUP(A22,'01_Hero_Base'!$A$5:$P$12,16,FALSE)</x:f>
        <x:v>0</x:v>
      </x:c>
      <x:c r="M22" s="68" t="n">
        <x:f>F22</x:f>
        <x:v>4</x:v>
      </x:c>
      <x:c r="N22" s="68" t="n">
        <x:f>IF(C22="Physical",I22,IF(C22="Magical",J22,0))</x:f>
        <x:v>0</x:v>
      </x:c>
      <x:c r="O22" s="74" t="n">
        <x:f>MAX(0,M22-N22)</x:f>
        <x:v>4</x:v>
      </x:c>
      <x:c r="P22" s="68" t="n">
        <x:f>MAX(0,G22-'00_Assumptions'!$C$10)</x:f>
        <x:v>0</x:v>
      </x:c>
      <x:c r="Q22" s="68" t="n">
        <x:f>IF(D22="Physical",K22,IF(D22="Magical",L22,0))</x:f>
        <x:v>0</x:v>
      </x:c>
      <x:c r="R22" s="77" t="n">
        <x:f>MAX(0,P22-Q22)</x:f>
        <x:v>0</x:v>
      </x:c>
      <x:c r="S22" s="68" t="n">
        <x:f>O22-R22</x:f>
        <x:v>4</x:v>
      </x:c>
      <x:c r="T22" s="71" t="n">
        <x:f>IF(E22=0,0,O22/E22)</x:f>
        <x:v>2</x:v>
      </x:c>
      <x:c r="U22" s="80" t="n">
        <x:f>IF(O22=0,"∞",ROUNDUP(H22/O22,0))</x:f>
        <x:v>3</x:v>
      </x:c>
      <x:c r="V22" s="68" t="str">
        <x:f>IF(R22&gt;=3,"高",IF(R22&gt;=2,"中","低"))</x:f>
        <x:v>低</x:v>
      </x:c>
      <x:c r="W22" s="89" t="str">
        <x:f>IF(O22=0,"主动伤害被防御完全抵消",IF(N22&gt;0,"受防御影响","无防御影响"))</x:f>
        <x:v>无防御影响</x:v>
      </x:c>
    </x:row>
    <x:row r="23" ht="15" hidden="0" customHeight="1">
      <x:c r="A23" s="60" t="str">
        <x:v>mage</x:v>
      </x:c>
      <x:c r="B23" s="61" t="str">
        <x:v>mage</x:v>
      </x:c>
      <x:c r="C23" s="61" t="str">
        <x:f>VLOOKUP(A23,'01_Hero_Base'!$A$5:$P$12,4,FALSE)</x:f>
        <x:v>Magical</x:v>
      </x:c>
      <x:c r="D23" s="61" t="str">
        <x:f>VLOOKUP(B23,'01_Hero_Base'!$A$5:$P$12,4,FALSE)</x:f>
        <x:v>Magical</x:v>
      </x:c>
      <x:c r="E23" s="68" t="n">
        <x:f>VLOOKUP(A23,'01_Hero_Base'!$A$5:$P$12,5,FALSE)</x:f>
        <x:v>2</x:v>
      </x:c>
      <x:c r="F23" s="68" t="n">
        <x:f>VLOOKUP(A23,'01_Hero_Base'!$A$5:$P$12,6,FALSE)</x:f>
        <x:v>4</x:v>
      </x:c>
      <x:c r="G23" s="68" t="n">
        <x:f>VLOOKUP(B23,'01_Hero_Base'!$A$5:$P$12,6,FALSE)</x:f>
        <x:v>4</x:v>
      </x:c>
      <x:c r="H23" s="68" t="n">
        <x:f>VLOOKUP(B23,'01_Hero_Base'!$A$5:$P$12,7,FALSE)</x:f>
        <x:v>16</x:v>
      </x:c>
      <x:c r="I23" s="68" t="n">
        <x:f>VLOOKUP(B23,'01_Hero_Base'!$A$5:$P$12,15,FALSE)</x:f>
        <x:v>0</x:v>
      </x:c>
      <x:c r="J23" s="68" t="n">
        <x:f>VLOOKUP(B23,'01_Hero_Base'!$A$5:$P$12,16,FALSE)</x:f>
        <x:v>0</x:v>
      </x:c>
      <x:c r="K23" s="68" t="n">
        <x:f>VLOOKUP(A23,'01_Hero_Base'!$A$5:$P$12,15,FALSE)</x:f>
        <x:v>0</x:v>
      </x:c>
      <x:c r="L23" s="68" t="n">
        <x:f>VLOOKUP(A23,'01_Hero_Base'!$A$5:$P$12,16,FALSE)</x:f>
        <x:v>0</x:v>
      </x:c>
      <x:c r="M23" s="68" t="n">
        <x:f>F23</x:f>
        <x:v>4</x:v>
      </x:c>
      <x:c r="N23" s="68" t="n">
        <x:f>IF(C23="Physical",I23,IF(C23="Magical",J23,0))</x:f>
        <x:v>0</x:v>
      </x:c>
      <x:c r="O23" s="74" t="n">
        <x:f>MAX(0,M23-N23)</x:f>
        <x:v>4</x:v>
      </x:c>
      <x:c r="P23" s="68" t="n">
        <x:f>MAX(0,G23-'00_Assumptions'!$C$10)</x:f>
        <x:v>3</x:v>
      </x:c>
      <x:c r="Q23" s="68" t="n">
        <x:f>IF(D23="Physical",K23,IF(D23="Magical",L23,0))</x:f>
        <x:v>0</x:v>
      </x:c>
      <x:c r="R23" s="77" t="n">
        <x:f>MAX(0,P23-Q23)</x:f>
        <x:v>3</x:v>
      </x:c>
      <x:c r="S23" s="68" t="n">
        <x:f>O23-R23</x:f>
        <x:v>1</x:v>
      </x:c>
      <x:c r="T23" s="71" t="n">
        <x:f>IF(E23=0,0,O23/E23)</x:f>
        <x:v>2</x:v>
      </x:c>
      <x:c r="U23" s="80" t="n">
        <x:f>IF(O23=0,"∞",ROUNDUP(H23/O23,0))</x:f>
        <x:v>4</x:v>
      </x:c>
      <x:c r="V23" s="68" t="str">
        <x:f>IF(R23&gt;=3,"高",IF(R23&gt;=2,"中","低"))</x:f>
        <x:v>高</x:v>
      </x:c>
      <x:c r="W23" s="89" t="str">
        <x:f>IF(O23=0,"主动伤害被防御完全抵消",IF(N23&gt;0,"受防御影响","无防御影响"))</x:f>
        <x:v>无防御影响</x:v>
      </x:c>
    </x:row>
    <x:row r="24" ht="15" hidden="0" customHeight="1">
      <x:c r="A24" s="60" t="str">
        <x:v>mage</x:v>
      </x:c>
      <x:c r="B24" s="61" t="str">
        <x:v>oracle</x:v>
      </x:c>
      <x:c r="C24" s="61" t="str">
        <x:f>VLOOKUP(A24,'01_Hero_Base'!$A$5:$P$12,4,FALSE)</x:f>
        <x:v>Magical</x:v>
      </x:c>
      <x:c r="D24" s="61" t="str">
        <x:f>VLOOKUP(B24,'01_Hero_Base'!$A$5:$P$12,4,FALSE)</x:f>
        <x:v>Magical</x:v>
      </x:c>
      <x:c r="E24" s="68" t="n">
        <x:f>VLOOKUP(A24,'01_Hero_Base'!$A$5:$P$12,5,FALSE)</x:f>
        <x:v>2</x:v>
      </x:c>
      <x:c r="F24" s="68" t="n">
        <x:f>VLOOKUP(A24,'01_Hero_Base'!$A$5:$P$12,6,FALSE)</x:f>
        <x:v>4</x:v>
      </x:c>
      <x:c r="G24" s="68" t="n">
        <x:f>VLOOKUP(B24,'01_Hero_Base'!$A$5:$P$12,6,FALSE)</x:f>
        <x:v>1</x:v>
      </x:c>
      <x:c r="H24" s="68" t="n">
        <x:f>VLOOKUP(B24,'01_Hero_Base'!$A$5:$P$12,7,FALSE)</x:f>
        <x:v>14</x:v>
      </x:c>
      <x:c r="I24" s="68" t="n">
        <x:f>VLOOKUP(B24,'01_Hero_Base'!$A$5:$P$12,15,FALSE)</x:f>
        <x:v>0</x:v>
      </x:c>
      <x:c r="J24" s="68" t="n">
        <x:f>VLOOKUP(B24,'01_Hero_Base'!$A$5:$P$12,16,FALSE)</x:f>
        <x:v>1</x:v>
      </x:c>
      <x:c r="K24" s="68" t="n">
        <x:f>VLOOKUP(A24,'01_Hero_Base'!$A$5:$P$12,15,FALSE)</x:f>
        <x:v>0</x:v>
      </x:c>
      <x:c r="L24" s="68" t="n">
        <x:f>VLOOKUP(A24,'01_Hero_Base'!$A$5:$P$12,16,FALSE)</x:f>
        <x:v>0</x:v>
      </x:c>
      <x:c r="M24" s="68" t="n">
        <x:f>F24</x:f>
        <x:v>4</x:v>
      </x:c>
      <x:c r="N24" s="68" t="n">
        <x:f>IF(C24="Physical",I24,IF(C24="Magical",J24,0))</x:f>
        <x:v>1</x:v>
      </x:c>
      <x:c r="O24" s="74" t="n">
        <x:f>MAX(0,M24-N24)</x:f>
        <x:v>3</x:v>
      </x:c>
      <x:c r="P24" s="68" t="n">
        <x:f>MAX(0,G24-'00_Assumptions'!$C$10)</x:f>
        <x:v>0</x:v>
      </x:c>
      <x:c r="Q24" s="68" t="n">
        <x:f>IF(D24="Physical",K24,IF(D24="Magical",L24,0))</x:f>
        <x:v>0</x:v>
      </x:c>
      <x:c r="R24" s="77" t="n">
        <x:f>MAX(0,P24-Q24)</x:f>
        <x:v>0</x:v>
      </x:c>
      <x:c r="S24" s="68" t="n">
        <x:f>O24-R24</x:f>
        <x:v>3</x:v>
      </x:c>
      <x:c r="T24" s="71" t="n">
        <x:f>IF(E24=0,0,O24/E24)</x:f>
        <x:v>1.5</x:v>
      </x:c>
      <x:c r="U24" s="80" t="n">
        <x:f>IF(O24=0,"∞",ROUNDUP(H24/O24,0))</x:f>
        <x:v>5</x:v>
      </x:c>
      <x:c r="V24" s="68" t="str">
        <x:f>IF(R24&gt;=3,"高",IF(R24&gt;=2,"中","低"))</x:f>
        <x:v>低</x:v>
      </x:c>
      <x:c r="W24" s="89" t="str">
        <x:f>IF(O24=0,"主动伤害被防御完全抵消",IF(N24&gt;0,"受防御影响","无防御影响"))</x:f>
        <x:v>受防御影响</x:v>
      </x:c>
    </x:row>
    <x:row r="25" ht="15" hidden="0" customHeight="1">
      <x:c r="A25" s="60" t="str">
        <x:v>mage</x:v>
      </x:c>
      <x:c r="B25" s="61" t="str">
        <x:v>knight</x:v>
      </x:c>
      <x:c r="C25" s="61" t="str">
        <x:f>VLOOKUP(A25,'01_Hero_Base'!$A$5:$P$12,4,FALSE)</x:f>
        <x:v>Magical</x:v>
      </x:c>
      <x:c r="D25" s="61" t="str">
        <x:f>VLOOKUP(B25,'01_Hero_Base'!$A$5:$P$12,4,FALSE)</x:f>
        <x:v>Physical</x:v>
      </x:c>
      <x:c r="E25" s="68" t="n">
        <x:f>VLOOKUP(A25,'01_Hero_Base'!$A$5:$P$12,5,FALSE)</x:f>
        <x:v>2</x:v>
      </x:c>
      <x:c r="F25" s="68" t="n">
        <x:f>VLOOKUP(A25,'01_Hero_Base'!$A$5:$P$12,6,FALSE)</x:f>
        <x:v>4</x:v>
      </x:c>
      <x:c r="G25" s="68" t="n">
        <x:f>VLOOKUP(B25,'01_Hero_Base'!$A$5:$P$12,6,FALSE)</x:f>
        <x:v>3</x:v>
      </x:c>
      <x:c r="H25" s="68" t="n">
        <x:f>VLOOKUP(B25,'01_Hero_Base'!$A$5:$P$12,7,FALSE)</x:f>
        <x:v>24</x:v>
      </x:c>
      <x:c r="I25" s="68" t="n">
        <x:f>VLOOKUP(B25,'01_Hero_Base'!$A$5:$P$12,15,FALSE)</x:f>
        <x:v>1</x:v>
      </x:c>
      <x:c r="J25" s="68" t="n">
        <x:f>VLOOKUP(B25,'01_Hero_Base'!$A$5:$P$12,16,FALSE)</x:f>
        <x:v>0</x:v>
      </x:c>
      <x:c r="K25" s="68" t="n">
        <x:f>VLOOKUP(A25,'01_Hero_Base'!$A$5:$P$12,15,FALSE)</x:f>
        <x:v>0</x:v>
      </x:c>
      <x:c r="L25" s="68" t="n">
        <x:f>VLOOKUP(A25,'01_Hero_Base'!$A$5:$P$12,16,FALSE)</x:f>
        <x:v>0</x:v>
      </x:c>
      <x:c r="M25" s="68" t="n">
        <x:f>F25</x:f>
        <x:v>4</x:v>
      </x:c>
      <x:c r="N25" s="68" t="n">
        <x:f>IF(C25="Physical",I25,IF(C25="Magical",J25,0))</x:f>
        <x:v>0</x:v>
      </x:c>
      <x:c r="O25" s="74" t="n">
        <x:f>MAX(0,M25-N25)</x:f>
        <x:v>4</x:v>
      </x:c>
      <x:c r="P25" s="68" t="n">
        <x:f>MAX(0,G25-'00_Assumptions'!$C$10)</x:f>
        <x:v>2</x:v>
      </x:c>
      <x:c r="Q25" s="68" t="n">
        <x:f>IF(D25="Physical",K25,IF(D25="Magical",L25,0))</x:f>
        <x:v>0</x:v>
      </x:c>
      <x:c r="R25" s="77" t="n">
        <x:f>MAX(0,P25-Q25)</x:f>
        <x:v>2</x:v>
      </x:c>
      <x:c r="S25" s="68" t="n">
        <x:f>O25-R25</x:f>
        <x:v>2</x:v>
      </x:c>
      <x:c r="T25" s="71" t="n">
        <x:f>IF(E25=0,0,O25/E25)</x:f>
        <x:v>2</x:v>
      </x:c>
      <x:c r="U25" s="80" t="n">
        <x:f>IF(O25=0,"∞",ROUNDUP(H25/O25,0))</x:f>
        <x:v>6</x:v>
      </x:c>
      <x:c r="V25" s="68" t="str">
        <x:f>IF(R25&gt;=3,"高",IF(R25&gt;=2,"中","低"))</x:f>
        <x:v>中</x:v>
      </x:c>
      <x:c r="W25" s="89" t="str">
        <x:f>IF(O25=0,"主动伤害被防御完全抵消",IF(N25&gt;0,"受防御影响","无防御影响"))</x:f>
        <x:v>无防御影响</x:v>
      </x:c>
    </x:row>
    <x:row r="26" ht="15" hidden="0" customHeight="1">
      <x:c r="A26" s="60" t="str">
        <x:v>mage</x:v>
      </x:c>
      <x:c r="B26" s="61" t="str">
        <x:v>druid</x:v>
      </x:c>
      <x:c r="C26" s="61" t="str">
        <x:f>VLOOKUP(A26,'01_Hero_Base'!$A$5:$P$12,4,FALSE)</x:f>
        <x:v>Magical</x:v>
      </x:c>
      <x:c r="D26" s="61" t="str">
        <x:f>VLOOKUP(B26,'01_Hero_Base'!$A$5:$P$12,4,FALSE)</x:f>
        <x:v>Magical</x:v>
      </x:c>
      <x:c r="E26" s="68" t="n">
        <x:f>VLOOKUP(A26,'01_Hero_Base'!$A$5:$P$12,5,FALSE)</x:f>
        <x:v>2</x:v>
      </x:c>
      <x:c r="F26" s="68" t="n">
        <x:f>VLOOKUP(A26,'01_Hero_Base'!$A$5:$P$12,6,FALSE)</x:f>
        <x:v>4</x:v>
      </x:c>
      <x:c r="G26" s="68" t="n">
        <x:f>VLOOKUP(B26,'01_Hero_Base'!$A$5:$P$12,6,FALSE)</x:f>
        <x:v>1</x:v>
      </x:c>
      <x:c r="H26" s="68" t="n">
        <x:f>VLOOKUP(B26,'01_Hero_Base'!$A$5:$P$12,7,FALSE)</x:f>
        <x:v>16</x:v>
      </x:c>
      <x:c r="I26" s="68" t="n">
        <x:f>VLOOKUP(B26,'01_Hero_Base'!$A$5:$P$12,15,FALSE)</x:f>
        <x:v>0</x:v>
      </x:c>
      <x:c r="J26" s="68" t="n">
        <x:f>VLOOKUP(B26,'01_Hero_Base'!$A$5:$P$12,16,FALSE)</x:f>
        <x:v>1</x:v>
      </x:c>
      <x:c r="K26" s="68" t="n">
        <x:f>VLOOKUP(A26,'01_Hero_Base'!$A$5:$P$12,15,FALSE)</x:f>
        <x:v>0</x:v>
      </x:c>
      <x:c r="L26" s="68" t="n">
        <x:f>VLOOKUP(A26,'01_Hero_Base'!$A$5:$P$12,16,FALSE)</x:f>
        <x:v>0</x:v>
      </x:c>
      <x:c r="M26" s="68" t="n">
        <x:f>F26</x:f>
        <x:v>4</x:v>
      </x:c>
      <x:c r="N26" s="68" t="n">
        <x:f>IF(C26="Physical",I26,IF(C26="Magical",J26,0))</x:f>
        <x:v>1</x:v>
      </x:c>
      <x:c r="O26" s="74" t="n">
        <x:f>MAX(0,M26-N26)</x:f>
        <x:v>3</x:v>
      </x:c>
      <x:c r="P26" s="68" t="n">
        <x:f>MAX(0,G26-'00_Assumptions'!$C$10)</x:f>
        <x:v>0</x:v>
      </x:c>
      <x:c r="Q26" s="68" t="n">
        <x:f>IF(D26="Physical",K26,IF(D26="Magical",L26,0))</x:f>
        <x:v>0</x:v>
      </x:c>
      <x:c r="R26" s="77" t="n">
        <x:f>MAX(0,P26-Q26)</x:f>
        <x:v>0</x:v>
      </x:c>
      <x:c r="S26" s="68" t="n">
        <x:f>O26-R26</x:f>
        <x:v>3</x:v>
      </x:c>
      <x:c r="T26" s="71" t="n">
        <x:f>IF(E26=0,0,O26/E26)</x:f>
        <x:v>1.5</x:v>
      </x:c>
      <x:c r="U26" s="80" t="n">
        <x:f>IF(O26=0,"∞",ROUNDUP(H26/O26,0))</x:f>
        <x:v>6</x:v>
      </x:c>
      <x:c r="V26" s="68" t="str">
        <x:f>IF(R26&gt;=3,"高",IF(R26&gt;=2,"中","低"))</x:f>
        <x:v>低</x:v>
      </x:c>
      <x:c r="W26" s="89" t="str">
        <x:f>IF(O26=0,"主动伤害被防御完全抵消",IF(N26&gt;0,"受防御影响","无防御影响"))</x:f>
        <x:v>受防御影响</x:v>
      </x:c>
    </x:row>
    <x:row r="27" ht="15" hidden="0" customHeight="1">
      <x:c r="A27" s="60" t="str">
        <x:v>mage</x:v>
      </x:c>
      <x:c r="B27" s="61" t="str">
        <x:v>barbarian</x:v>
      </x:c>
      <x:c r="C27" s="61" t="str">
        <x:f>VLOOKUP(A27,'01_Hero_Base'!$A$5:$P$12,4,FALSE)</x:f>
        <x:v>Magical</x:v>
      </x:c>
      <x:c r="D27" s="61" t="str">
        <x:f>VLOOKUP(B27,'01_Hero_Base'!$A$5:$P$12,4,FALSE)</x:f>
        <x:v>Physical</x:v>
      </x:c>
      <x:c r="E27" s="68" t="n">
        <x:f>VLOOKUP(A27,'01_Hero_Base'!$A$5:$P$12,5,FALSE)</x:f>
        <x:v>2</x:v>
      </x:c>
      <x:c r="F27" s="68" t="n">
        <x:f>VLOOKUP(A27,'01_Hero_Base'!$A$5:$P$12,6,FALSE)</x:f>
        <x:v>4</x:v>
      </x:c>
      <x:c r="G27" s="68" t="n">
        <x:f>VLOOKUP(B27,'01_Hero_Base'!$A$5:$P$12,6,FALSE)</x:f>
        <x:v>4</x:v>
      </x:c>
      <x:c r="H27" s="68" t="n">
        <x:f>VLOOKUP(B27,'01_Hero_Base'!$A$5:$P$12,7,FALSE)</x:f>
        <x:v>18</x:v>
      </x:c>
      <x:c r="I27" s="68" t="n">
        <x:f>VLOOKUP(B27,'01_Hero_Base'!$A$5:$P$12,15,FALSE)</x:f>
        <x:v>0</x:v>
      </x:c>
      <x:c r="J27" s="68" t="n">
        <x:f>VLOOKUP(B27,'01_Hero_Base'!$A$5:$P$12,16,FALSE)</x:f>
        <x:v>0</x:v>
      </x:c>
      <x:c r="K27" s="68" t="n">
        <x:f>VLOOKUP(A27,'01_Hero_Base'!$A$5:$P$12,15,FALSE)</x:f>
        <x:v>0</x:v>
      </x:c>
      <x:c r="L27" s="68" t="n">
        <x:f>VLOOKUP(A27,'01_Hero_Base'!$A$5:$P$12,16,FALSE)</x:f>
        <x:v>0</x:v>
      </x:c>
      <x:c r="M27" s="68" t="n">
        <x:f>F27</x:f>
        <x:v>4</x:v>
      </x:c>
      <x:c r="N27" s="68" t="n">
        <x:f>IF(C27="Physical",I27,IF(C27="Magical",J27,0))</x:f>
        <x:v>0</x:v>
      </x:c>
      <x:c r="O27" s="74" t="n">
        <x:f>MAX(0,M27-N27)</x:f>
        <x:v>4</x:v>
      </x:c>
      <x:c r="P27" s="68" t="n">
        <x:f>MAX(0,G27-'00_Assumptions'!$C$10)</x:f>
        <x:v>3</x:v>
      </x:c>
      <x:c r="Q27" s="68" t="n">
        <x:f>IF(D27="Physical",K27,IF(D27="Magical",L27,0))</x:f>
        <x:v>0</x:v>
      </x:c>
      <x:c r="R27" s="77" t="n">
        <x:f>MAX(0,P27-Q27)</x:f>
        <x:v>3</x:v>
      </x:c>
      <x:c r="S27" s="68" t="n">
        <x:f>O27-R27</x:f>
        <x:v>1</x:v>
      </x:c>
      <x:c r="T27" s="71" t="n">
        <x:f>IF(E27=0,0,O27/E27)</x:f>
        <x:v>2</x:v>
      </x:c>
      <x:c r="U27" s="80" t="n">
        <x:f>IF(O27=0,"∞",ROUNDUP(H27/O27,0))</x:f>
        <x:v>5</x:v>
      </x:c>
      <x:c r="V27" s="68" t="str">
        <x:f>IF(R27&gt;=3,"高",IF(R27&gt;=2,"中","低"))</x:f>
        <x:v>高</x:v>
      </x:c>
      <x:c r="W27" s="89" t="str">
        <x:f>IF(O27=0,"主动伤害被防御完全抵消",IF(N27&gt;0,"受防御影响","无防御影响"))</x:f>
        <x:v>无防御影响</x:v>
      </x:c>
    </x:row>
    <x:row r="28" ht="15" hidden="0" customHeight="1">
      <x:c r="A28" s="60" t="str">
        <x:v>mage</x:v>
      </x:c>
      <x:c r="B28" s="61" t="str">
        <x:v>monster</x:v>
      </x:c>
      <x:c r="C28" s="61" t="str">
        <x:f>VLOOKUP(A28,'01_Hero_Base'!$A$5:$P$12,4,FALSE)</x:f>
        <x:v>Magical</x:v>
      </x:c>
      <x:c r="D28" s="61" t="str">
        <x:f>VLOOKUP(B28,'01_Hero_Base'!$A$5:$P$12,4,FALSE)</x:f>
        <x:v>Physical</x:v>
      </x:c>
      <x:c r="E28" s="68" t="n">
        <x:f>VLOOKUP(A28,'01_Hero_Base'!$A$5:$P$12,5,FALSE)</x:f>
        <x:v>2</x:v>
      </x:c>
      <x:c r="F28" s="68" t="n">
        <x:f>VLOOKUP(A28,'01_Hero_Base'!$A$5:$P$12,6,FALSE)</x:f>
        <x:v>4</x:v>
      </x:c>
      <x:c r="G28" s="68" t="n">
        <x:f>VLOOKUP(B28,'01_Hero_Base'!$A$5:$P$12,6,FALSE)</x:f>
        <x:v>3</x:v>
      </x:c>
      <x:c r="H28" s="68" t="n">
        <x:f>VLOOKUP(B28,'01_Hero_Base'!$A$5:$P$12,7,FALSE)</x:f>
        <x:v>22</x:v>
      </x:c>
      <x:c r="I28" s="68" t="n">
        <x:f>VLOOKUP(B28,'01_Hero_Base'!$A$5:$P$12,15,FALSE)</x:f>
        <x:v>1</x:v>
      </x:c>
      <x:c r="J28" s="68" t="n">
        <x:f>VLOOKUP(B28,'01_Hero_Base'!$A$5:$P$12,16,FALSE)</x:f>
        <x:v>0</x:v>
      </x:c>
      <x:c r="K28" s="68" t="n">
        <x:f>VLOOKUP(A28,'01_Hero_Base'!$A$5:$P$12,15,FALSE)</x:f>
        <x:v>0</x:v>
      </x:c>
      <x:c r="L28" s="68" t="n">
        <x:f>VLOOKUP(A28,'01_Hero_Base'!$A$5:$P$12,16,FALSE)</x:f>
        <x:v>0</x:v>
      </x:c>
      <x:c r="M28" s="68" t="n">
        <x:f>F28</x:f>
        <x:v>4</x:v>
      </x:c>
      <x:c r="N28" s="68" t="n">
        <x:f>IF(C28="Physical",I28,IF(C28="Magical",J28,0))</x:f>
        <x:v>0</x:v>
      </x:c>
      <x:c r="O28" s="74" t="n">
        <x:f>MAX(0,M28-N28)</x:f>
        <x:v>4</x:v>
      </x:c>
      <x:c r="P28" s="68" t="n">
        <x:f>MAX(0,G28-'00_Assumptions'!$C$10)</x:f>
        <x:v>2</x:v>
      </x:c>
      <x:c r="Q28" s="68" t="n">
        <x:f>IF(D28="Physical",K28,IF(D28="Magical",L28,0))</x:f>
        <x:v>0</x:v>
      </x:c>
      <x:c r="R28" s="77" t="n">
        <x:f>MAX(0,P28-Q28)</x:f>
        <x:v>2</x:v>
      </x:c>
      <x:c r="S28" s="68" t="n">
        <x:f>O28-R28</x:f>
        <x:v>2</x:v>
      </x:c>
      <x:c r="T28" s="71" t="n">
        <x:f>IF(E28=0,0,O28/E28)</x:f>
        <x:v>2</x:v>
      </x:c>
      <x:c r="U28" s="80" t="n">
        <x:f>IF(O28=0,"∞",ROUNDUP(H28/O28,0))</x:f>
        <x:v>6</x:v>
      </x:c>
      <x:c r="V28" s="68" t="str">
        <x:f>IF(R28&gt;=3,"高",IF(R28&gt;=2,"中","低"))</x:f>
        <x:v>中</x:v>
      </x:c>
      <x:c r="W28" s="89" t="str">
        <x:f>IF(O28=0,"主动伤害被防御完全抵消",IF(N28&gt;0,"受防御影响","无防御影响"))</x:f>
        <x:v>无防御影响</x:v>
      </x:c>
    </x:row>
    <x:row r="29" ht="15" hidden="0" customHeight="1">
      <x:c r="A29" s="60" t="str">
        <x:v>oracle</x:v>
      </x:c>
      <x:c r="B29" s="61" t="str">
        <x:v>peasant</x:v>
      </x:c>
      <x:c r="C29" s="61" t="str">
        <x:f>VLOOKUP(A29,'01_Hero_Base'!$A$5:$P$12,4,FALSE)</x:f>
        <x:v>Magical</x:v>
      </x:c>
      <x:c r="D29" s="61" t="str">
        <x:f>VLOOKUP(B29,'01_Hero_Base'!$A$5:$P$12,4,FALSE)</x:f>
        <x:v>Physical</x:v>
      </x:c>
      <x:c r="E29" s="68" t="n">
        <x:f>VLOOKUP(A29,'01_Hero_Base'!$A$5:$P$12,5,FALSE)</x:f>
        <x:v>1</x:v>
      </x:c>
      <x:c r="F29" s="68" t="n">
        <x:f>VLOOKUP(A29,'01_Hero_Base'!$A$5:$P$12,6,FALSE)</x:f>
        <x:v>1</x:v>
      </x:c>
      <x:c r="G29" s="68" t="n">
        <x:f>VLOOKUP(B29,'01_Hero_Base'!$A$5:$P$12,6,FALSE)</x:f>
        <x:v>2</x:v>
      </x:c>
      <x:c r="H29" s="68" t="n">
        <x:f>VLOOKUP(B29,'01_Hero_Base'!$A$5:$P$12,7,FALSE)</x:f>
        <x:v>16</x:v>
      </x:c>
      <x:c r="I29" s="68" t="n">
        <x:f>VLOOKUP(B29,'01_Hero_Base'!$A$5:$P$12,15,FALSE)</x:f>
        <x:v>0</x:v>
      </x:c>
      <x:c r="J29" s="68" t="n">
        <x:f>VLOOKUP(B29,'01_Hero_Base'!$A$5:$P$12,16,FALSE)</x:f>
        <x:v>0</x:v>
      </x:c>
      <x:c r="K29" s="68" t="n">
        <x:f>VLOOKUP(A29,'01_Hero_Base'!$A$5:$P$12,15,FALSE)</x:f>
        <x:v>0</x:v>
      </x:c>
      <x:c r="L29" s="68" t="n">
        <x:f>VLOOKUP(A29,'01_Hero_Base'!$A$5:$P$12,16,FALSE)</x:f>
        <x:v>1</x:v>
      </x:c>
      <x:c r="M29" s="68" t="n">
        <x:f>F29</x:f>
        <x:v>1</x:v>
      </x:c>
      <x:c r="N29" s="68" t="n">
        <x:f>IF(C29="Physical",I29,IF(C29="Magical",J29,0))</x:f>
        <x:v>0</x:v>
      </x:c>
      <x:c r="O29" s="74" t="n">
        <x:f>MAX(0,M29-N29)</x:f>
        <x:v>1</x:v>
      </x:c>
      <x:c r="P29" s="68" t="n">
        <x:f>MAX(0,G29-'00_Assumptions'!$C$10)</x:f>
        <x:v>1</x:v>
      </x:c>
      <x:c r="Q29" s="68" t="n">
        <x:f>IF(D29="Physical",K29,IF(D29="Magical",L29,0))</x:f>
        <x:v>0</x:v>
      </x:c>
      <x:c r="R29" s="77" t="n">
        <x:f>MAX(0,P29-Q29)</x:f>
        <x:v>1</x:v>
      </x:c>
      <x:c r="S29" s="68" t="n">
        <x:f>O29-R29</x:f>
        <x:v>0</x:v>
      </x:c>
      <x:c r="T29" s="71" t="n">
        <x:f>IF(E29=0,0,O29/E29)</x:f>
        <x:v>1</x:v>
      </x:c>
      <x:c r="U29" s="80" t="n">
        <x:f>IF(O29=0,"∞",ROUNDUP(H29/O29,0))</x:f>
        <x:v>16</x:v>
      </x:c>
      <x:c r="V29" s="68" t="str">
        <x:f>IF(R29&gt;=3,"高",IF(R29&gt;=2,"中","低"))</x:f>
        <x:v>低</x:v>
      </x:c>
      <x:c r="W29" s="89" t="str">
        <x:f>IF(O29=0,"主动伤害被防御完全抵消",IF(N29&gt;0,"受防御影响","无防御影响"))</x:f>
        <x:v>无防御影响</x:v>
      </x:c>
    </x:row>
    <x:row r="30" ht="15" hidden="0" customHeight="1">
      <x:c r="A30" s="60" t="str">
        <x:v>oracle</x:v>
      </x:c>
      <x:c r="B30" s="61" t="str">
        <x:v>princess</x:v>
      </x:c>
      <x:c r="C30" s="61" t="str">
        <x:f>VLOOKUP(A30,'01_Hero_Base'!$A$5:$P$12,4,FALSE)</x:f>
        <x:v>Magical</x:v>
      </x:c>
      <x:c r="D30" s="61" t="str">
        <x:f>VLOOKUP(B30,'01_Hero_Base'!$A$5:$P$12,4,FALSE)</x:f>
        <x:v>Physical</x:v>
      </x:c>
      <x:c r="E30" s="68" t="n">
        <x:f>VLOOKUP(A30,'01_Hero_Base'!$A$5:$P$12,5,FALSE)</x:f>
        <x:v>1</x:v>
      </x:c>
      <x:c r="F30" s="68" t="n">
        <x:f>VLOOKUP(A30,'01_Hero_Base'!$A$5:$P$12,6,FALSE)</x:f>
        <x:v>1</x:v>
      </x:c>
      <x:c r="G30" s="68" t="n">
        <x:f>VLOOKUP(B30,'01_Hero_Base'!$A$5:$P$12,6,FALSE)</x:f>
        <x:v>1</x:v>
      </x:c>
      <x:c r="H30" s="68" t="n">
        <x:f>VLOOKUP(B30,'01_Hero_Base'!$A$5:$P$12,7,FALSE)</x:f>
        <x:v>12</x:v>
      </x:c>
      <x:c r="I30" s="68" t="n">
        <x:f>VLOOKUP(B30,'01_Hero_Base'!$A$5:$P$12,15,FALSE)</x:f>
        <x:v>0</x:v>
      </x:c>
      <x:c r="J30" s="68" t="n">
        <x:f>VLOOKUP(B30,'01_Hero_Base'!$A$5:$P$12,16,FALSE)</x:f>
        <x:v>0</x:v>
      </x:c>
      <x:c r="K30" s="68" t="n">
        <x:f>VLOOKUP(A30,'01_Hero_Base'!$A$5:$P$12,15,FALSE)</x:f>
        <x:v>0</x:v>
      </x:c>
      <x:c r="L30" s="68" t="n">
        <x:f>VLOOKUP(A30,'01_Hero_Base'!$A$5:$P$12,16,FALSE)</x:f>
        <x:v>1</x:v>
      </x:c>
      <x:c r="M30" s="68" t="n">
        <x:f>F30</x:f>
        <x:v>1</x:v>
      </x:c>
      <x:c r="N30" s="68" t="n">
        <x:f>IF(C30="Physical",I30,IF(C30="Magical",J30,0))</x:f>
        <x:v>0</x:v>
      </x:c>
      <x:c r="O30" s="74" t="n">
        <x:f>MAX(0,M30-N30)</x:f>
        <x:v>1</x:v>
      </x:c>
      <x:c r="P30" s="68" t="n">
        <x:f>MAX(0,G30-'00_Assumptions'!$C$10)</x:f>
        <x:v>0</x:v>
      </x:c>
      <x:c r="Q30" s="68" t="n">
        <x:f>IF(D30="Physical",K30,IF(D30="Magical",L30,0))</x:f>
        <x:v>0</x:v>
      </x:c>
      <x:c r="R30" s="77" t="n">
        <x:f>MAX(0,P30-Q30)</x:f>
        <x:v>0</x:v>
      </x:c>
      <x:c r="S30" s="68" t="n">
        <x:f>O30-R30</x:f>
        <x:v>1</x:v>
      </x:c>
      <x:c r="T30" s="71" t="n">
        <x:f>IF(E30=0,0,O30/E30)</x:f>
        <x:v>1</x:v>
      </x:c>
      <x:c r="U30" s="80" t="n">
        <x:f>IF(O30=0,"∞",ROUNDUP(H30/O30,0))</x:f>
        <x:v>12</x:v>
      </x:c>
      <x:c r="V30" s="68" t="str">
        <x:f>IF(R30&gt;=3,"高",IF(R30&gt;=2,"中","低"))</x:f>
        <x:v>低</x:v>
      </x:c>
      <x:c r="W30" s="89" t="str">
        <x:f>IF(O30=0,"主动伤害被防御完全抵消",IF(N30&gt;0,"受防御影响","无防御影响"))</x:f>
        <x:v>无防御影响</x:v>
      </x:c>
    </x:row>
    <x:row r="31" ht="15" hidden="0" customHeight="1">
      <x:c r="A31" s="60" t="str">
        <x:v>oracle</x:v>
      </x:c>
      <x:c r="B31" s="61" t="str">
        <x:v>mage</x:v>
      </x:c>
      <x:c r="C31" s="61" t="str">
        <x:f>VLOOKUP(A31,'01_Hero_Base'!$A$5:$P$12,4,FALSE)</x:f>
        <x:v>Magical</x:v>
      </x:c>
      <x:c r="D31" s="61" t="str">
        <x:f>VLOOKUP(B31,'01_Hero_Base'!$A$5:$P$12,4,FALSE)</x:f>
        <x:v>Magical</x:v>
      </x:c>
      <x:c r="E31" s="68" t="n">
        <x:f>VLOOKUP(A31,'01_Hero_Base'!$A$5:$P$12,5,FALSE)</x:f>
        <x:v>1</x:v>
      </x:c>
      <x:c r="F31" s="68" t="n">
        <x:f>VLOOKUP(A31,'01_Hero_Base'!$A$5:$P$12,6,FALSE)</x:f>
        <x:v>1</x:v>
      </x:c>
      <x:c r="G31" s="68" t="n">
        <x:f>VLOOKUP(B31,'01_Hero_Base'!$A$5:$P$12,6,FALSE)</x:f>
        <x:v>4</x:v>
      </x:c>
      <x:c r="H31" s="68" t="n">
        <x:f>VLOOKUP(B31,'01_Hero_Base'!$A$5:$P$12,7,FALSE)</x:f>
        <x:v>16</x:v>
      </x:c>
      <x:c r="I31" s="68" t="n">
        <x:f>VLOOKUP(B31,'01_Hero_Base'!$A$5:$P$12,15,FALSE)</x:f>
        <x:v>0</x:v>
      </x:c>
      <x:c r="J31" s="68" t="n">
        <x:f>VLOOKUP(B31,'01_Hero_Base'!$A$5:$P$12,16,FALSE)</x:f>
        <x:v>0</x:v>
      </x:c>
      <x:c r="K31" s="68" t="n">
        <x:f>VLOOKUP(A31,'01_Hero_Base'!$A$5:$P$12,15,FALSE)</x:f>
        <x:v>0</x:v>
      </x:c>
      <x:c r="L31" s="68" t="n">
        <x:f>VLOOKUP(A31,'01_Hero_Base'!$A$5:$P$12,16,FALSE)</x:f>
        <x:v>1</x:v>
      </x:c>
      <x:c r="M31" s="68" t="n">
        <x:f>F31</x:f>
        <x:v>1</x:v>
      </x:c>
      <x:c r="N31" s="68" t="n">
        <x:f>IF(C31="Physical",I31,IF(C31="Magical",J31,0))</x:f>
        <x:v>0</x:v>
      </x:c>
      <x:c r="O31" s="74" t="n">
        <x:f>MAX(0,M31-N31)</x:f>
        <x:v>1</x:v>
      </x:c>
      <x:c r="P31" s="68" t="n">
        <x:f>MAX(0,G31-'00_Assumptions'!$C$10)</x:f>
        <x:v>3</x:v>
      </x:c>
      <x:c r="Q31" s="68" t="n">
        <x:f>IF(D31="Physical",K31,IF(D31="Magical",L31,0))</x:f>
        <x:v>1</x:v>
      </x:c>
      <x:c r="R31" s="77" t="n">
        <x:f>MAX(0,P31-Q31)</x:f>
        <x:v>2</x:v>
      </x:c>
      <x:c r="S31" s="68" t="n">
        <x:f>O31-R31</x:f>
        <x:v>-1</x:v>
      </x:c>
      <x:c r="T31" s="71" t="n">
        <x:f>IF(E31=0,0,O31/E31)</x:f>
        <x:v>1</x:v>
      </x:c>
      <x:c r="U31" s="80" t="n">
        <x:f>IF(O31=0,"∞",ROUNDUP(H31/O31,0))</x:f>
        <x:v>16</x:v>
      </x:c>
      <x:c r="V31" s="68" t="str">
        <x:f>IF(R31&gt;=3,"高",IF(R31&gt;=2,"中","低"))</x:f>
        <x:v>中</x:v>
      </x:c>
      <x:c r="W31" s="89" t="str">
        <x:f>IF(O31=0,"主动伤害被防御完全抵消",IF(N31&gt;0,"受防御影响","无防御影响"))</x:f>
        <x:v>无防御影响</x:v>
      </x:c>
    </x:row>
    <x:row r="32" ht="15" hidden="0" customHeight="1">
      <x:c r="A32" s="60" t="str">
        <x:v>oracle</x:v>
      </x:c>
      <x:c r="B32" s="61" t="str">
        <x:v>oracle</x:v>
      </x:c>
      <x:c r="C32" s="61" t="str">
        <x:f>VLOOKUP(A32,'01_Hero_Base'!$A$5:$P$12,4,FALSE)</x:f>
        <x:v>Magical</x:v>
      </x:c>
      <x:c r="D32" s="61" t="str">
        <x:f>VLOOKUP(B32,'01_Hero_Base'!$A$5:$P$12,4,FALSE)</x:f>
        <x:v>Magical</x:v>
      </x:c>
      <x:c r="E32" s="68" t="n">
        <x:f>VLOOKUP(A32,'01_Hero_Base'!$A$5:$P$12,5,FALSE)</x:f>
        <x:v>1</x:v>
      </x:c>
      <x:c r="F32" s="68" t="n">
        <x:f>VLOOKUP(A32,'01_Hero_Base'!$A$5:$P$12,6,FALSE)</x:f>
        <x:v>1</x:v>
      </x:c>
      <x:c r="G32" s="68" t="n">
        <x:f>VLOOKUP(B32,'01_Hero_Base'!$A$5:$P$12,6,FALSE)</x:f>
        <x:v>1</x:v>
      </x:c>
      <x:c r="H32" s="68" t="n">
        <x:f>VLOOKUP(B32,'01_Hero_Base'!$A$5:$P$12,7,FALSE)</x:f>
        <x:v>14</x:v>
      </x:c>
      <x:c r="I32" s="68" t="n">
        <x:f>VLOOKUP(B32,'01_Hero_Base'!$A$5:$P$12,15,FALSE)</x:f>
        <x:v>0</x:v>
      </x:c>
      <x:c r="J32" s="68" t="n">
        <x:f>VLOOKUP(B32,'01_Hero_Base'!$A$5:$P$12,16,FALSE)</x:f>
        <x:v>1</x:v>
      </x:c>
      <x:c r="K32" s="68" t="n">
        <x:f>VLOOKUP(A32,'01_Hero_Base'!$A$5:$P$12,15,FALSE)</x:f>
        <x:v>0</x:v>
      </x:c>
      <x:c r="L32" s="68" t="n">
        <x:f>VLOOKUP(A32,'01_Hero_Base'!$A$5:$P$12,16,FALSE)</x:f>
        <x:v>1</x:v>
      </x:c>
      <x:c r="M32" s="68" t="n">
        <x:f>F32</x:f>
        <x:v>1</x:v>
      </x:c>
      <x:c r="N32" s="68" t="n">
        <x:f>IF(C32="Physical",I32,IF(C32="Magical",J32,0))</x:f>
        <x:v>1</x:v>
      </x:c>
      <x:c r="O32" s="74" t="n">
        <x:f>MAX(0,M32-N32)</x:f>
        <x:v>0</x:v>
      </x:c>
      <x:c r="P32" s="68" t="n">
        <x:f>MAX(0,G32-'00_Assumptions'!$C$10)</x:f>
        <x:v>0</x:v>
      </x:c>
      <x:c r="Q32" s="68" t="n">
        <x:f>IF(D32="Physical",K32,IF(D32="Magical",L32,0))</x:f>
        <x:v>1</x:v>
      </x:c>
      <x:c r="R32" s="77" t="n">
        <x:f>MAX(0,P32-Q32)</x:f>
        <x:v>0</x:v>
      </x:c>
      <x:c r="S32" s="68" t="n">
        <x:f>O32-R32</x:f>
        <x:v>0</x:v>
      </x:c>
      <x:c r="T32" s="71" t="n">
        <x:f>IF(E32=0,0,O32/E32)</x:f>
        <x:v>0</x:v>
      </x:c>
      <x:c r="U32" s="80" t="str">
        <x:f>IF(O32=0,"∞",ROUNDUP(H32/O32,0))</x:f>
        <x:v>∞</x:v>
      </x:c>
      <x:c r="V32" s="68" t="str">
        <x:f>IF(R32&gt;=3,"高",IF(R32&gt;=2,"中","低"))</x:f>
        <x:v>低</x:v>
      </x:c>
      <x:c r="W32" s="89" t="str">
        <x:f>IF(O32=0,"主动伤害被防御完全抵消",IF(N32&gt;0,"受防御影响","无防御影响"))</x:f>
        <x:v>主动伤害被防御完全抵消</x:v>
      </x:c>
    </x:row>
    <x:row r="33" ht="15" hidden="0" customHeight="1">
      <x:c r="A33" s="60" t="str">
        <x:v>oracle</x:v>
      </x:c>
      <x:c r="B33" s="61" t="str">
        <x:v>knight</x:v>
      </x:c>
      <x:c r="C33" s="61" t="str">
        <x:f>VLOOKUP(A33,'01_Hero_Base'!$A$5:$P$12,4,FALSE)</x:f>
        <x:v>Magical</x:v>
      </x:c>
      <x:c r="D33" s="61" t="str">
        <x:f>VLOOKUP(B33,'01_Hero_Base'!$A$5:$P$12,4,FALSE)</x:f>
        <x:v>Physical</x:v>
      </x:c>
      <x:c r="E33" s="68" t="n">
        <x:f>VLOOKUP(A33,'01_Hero_Base'!$A$5:$P$12,5,FALSE)</x:f>
        <x:v>1</x:v>
      </x:c>
      <x:c r="F33" s="68" t="n">
        <x:f>VLOOKUP(A33,'01_Hero_Base'!$A$5:$P$12,6,FALSE)</x:f>
        <x:v>1</x:v>
      </x:c>
      <x:c r="G33" s="68" t="n">
        <x:f>VLOOKUP(B33,'01_Hero_Base'!$A$5:$P$12,6,FALSE)</x:f>
        <x:v>3</x:v>
      </x:c>
      <x:c r="H33" s="68" t="n">
        <x:f>VLOOKUP(B33,'01_Hero_Base'!$A$5:$P$12,7,FALSE)</x:f>
        <x:v>24</x:v>
      </x:c>
      <x:c r="I33" s="68" t="n">
        <x:f>VLOOKUP(B33,'01_Hero_Base'!$A$5:$P$12,15,FALSE)</x:f>
        <x:v>1</x:v>
      </x:c>
      <x:c r="J33" s="68" t="n">
        <x:f>VLOOKUP(B33,'01_Hero_Base'!$A$5:$P$12,16,FALSE)</x:f>
        <x:v>0</x:v>
      </x:c>
      <x:c r="K33" s="68" t="n">
        <x:f>VLOOKUP(A33,'01_Hero_Base'!$A$5:$P$12,15,FALSE)</x:f>
        <x:v>0</x:v>
      </x:c>
      <x:c r="L33" s="68" t="n">
        <x:f>VLOOKUP(A33,'01_Hero_Base'!$A$5:$P$12,16,FALSE)</x:f>
        <x:v>1</x:v>
      </x:c>
      <x:c r="M33" s="68" t="n">
        <x:f>F33</x:f>
        <x:v>1</x:v>
      </x:c>
      <x:c r="N33" s="68" t="n">
        <x:f>IF(C33="Physical",I33,IF(C33="Magical",J33,0))</x:f>
        <x:v>0</x:v>
      </x:c>
      <x:c r="O33" s="74" t="n">
        <x:f>MAX(0,M33-N33)</x:f>
        <x:v>1</x:v>
      </x:c>
      <x:c r="P33" s="68" t="n">
        <x:f>MAX(0,G33-'00_Assumptions'!$C$10)</x:f>
        <x:v>2</x:v>
      </x:c>
      <x:c r="Q33" s="68" t="n">
        <x:f>IF(D33="Physical",K33,IF(D33="Magical",L33,0))</x:f>
        <x:v>0</x:v>
      </x:c>
      <x:c r="R33" s="77" t="n">
        <x:f>MAX(0,P33-Q33)</x:f>
        <x:v>2</x:v>
      </x:c>
      <x:c r="S33" s="68" t="n">
        <x:f>O33-R33</x:f>
        <x:v>-1</x:v>
      </x:c>
      <x:c r="T33" s="71" t="n">
        <x:f>IF(E33=0,0,O33/E33)</x:f>
        <x:v>1</x:v>
      </x:c>
      <x:c r="U33" s="80" t="n">
        <x:f>IF(O33=0,"∞",ROUNDUP(H33/O33,0))</x:f>
        <x:v>24</x:v>
      </x:c>
      <x:c r="V33" s="68" t="str">
        <x:f>IF(R33&gt;=3,"高",IF(R33&gt;=2,"中","低"))</x:f>
        <x:v>中</x:v>
      </x:c>
      <x:c r="W33" s="89" t="str">
        <x:f>IF(O33=0,"主动伤害被防御完全抵消",IF(N33&gt;0,"受防御影响","无防御影响"))</x:f>
        <x:v>无防御影响</x:v>
      </x:c>
    </x:row>
    <x:row r="34" ht="15" hidden="0" customHeight="1">
      <x:c r="A34" s="60" t="str">
        <x:v>oracle</x:v>
      </x:c>
      <x:c r="B34" s="61" t="str">
        <x:v>druid</x:v>
      </x:c>
      <x:c r="C34" s="61" t="str">
        <x:f>VLOOKUP(A34,'01_Hero_Base'!$A$5:$P$12,4,FALSE)</x:f>
        <x:v>Magical</x:v>
      </x:c>
      <x:c r="D34" s="61" t="str">
        <x:f>VLOOKUP(B34,'01_Hero_Base'!$A$5:$P$12,4,FALSE)</x:f>
        <x:v>Magical</x:v>
      </x:c>
      <x:c r="E34" s="68" t="n">
        <x:f>VLOOKUP(A34,'01_Hero_Base'!$A$5:$P$12,5,FALSE)</x:f>
        <x:v>1</x:v>
      </x:c>
      <x:c r="F34" s="68" t="n">
        <x:f>VLOOKUP(A34,'01_Hero_Base'!$A$5:$P$12,6,FALSE)</x:f>
        <x:v>1</x:v>
      </x:c>
      <x:c r="G34" s="68" t="n">
        <x:f>VLOOKUP(B34,'01_Hero_Base'!$A$5:$P$12,6,FALSE)</x:f>
        <x:v>1</x:v>
      </x:c>
      <x:c r="H34" s="68" t="n">
        <x:f>VLOOKUP(B34,'01_Hero_Base'!$A$5:$P$12,7,FALSE)</x:f>
        <x:v>16</x:v>
      </x:c>
      <x:c r="I34" s="68" t="n">
        <x:f>VLOOKUP(B34,'01_Hero_Base'!$A$5:$P$12,15,FALSE)</x:f>
        <x:v>0</x:v>
      </x:c>
      <x:c r="J34" s="68" t="n">
        <x:f>VLOOKUP(B34,'01_Hero_Base'!$A$5:$P$12,16,FALSE)</x:f>
        <x:v>1</x:v>
      </x:c>
      <x:c r="K34" s="68" t="n">
        <x:f>VLOOKUP(A34,'01_Hero_Base'!$A$5:$P$12,15,FALSE)</x:f>
        <x:v>0</x:v>
      </x:c>
      <x:c r="L34" s="68" t="n">
        <x:f>VLOOKUP(A34,'01_Hero_Base'!$A$5:$P$12,16,FALSE)</x:f>
        <x:v>1</x:v>
      </x:c>
      <x:c r="M34" s="68" t="n">
        <x:f>F34</x:f>
        <x:v>1</x:v>
      </x:c>
      <x:c r="N34" s="68" t="n">
        <x:f>IF(C34="Physical",I34,IF(C34="Magical",J34,0))</x:f>
        <x:v>1</x:v>
      </x:c>
      <x:c r="O34" s="74" t="n">
        <x:f>MAX(0,M34-N34)</x:f>
        <x:v>0</x:v>
      </x:c>
      <x:c r="P34" s="68" t="n">
        <x:f>MAX(0,G34-'00_Assumptions'!$C$10)</x:f>
        <x:v>0</x:v>
      </x:c>
      <x:c r="Q34" s="68" t="n">
        <x:f>IF(D34="Physical",K34,IF(D34="Magical",L34,0))</x:f>
        <x:v>1</x:v>
      </x:c>
      <x:c r="R34" s="77" t="n">
        <x:f>MAX(0,P34-Q34)</x:f>
        <x:v>0</x:v>
      </x:c>
      <x:c r="S34" s="68" t="n">
        <x:f>O34-R34</x:f>
        <x:v>0</x:v>
      </x:c>
      <x:c r="T34" s="71" t="n">
        <x:f>IF(E34=0,0,O34/E34)</x:f>
        <x:v>0</x:v>
      </x:c>
      <x:c r="U34" s="80" t="str">
        <x:f>IF(O34=0,"∞",ROUNDUP(H34/O34,0))</x:f>
        <x:v>∞</x:v>
      </x:c>
      <x:c r="V34" s="68" t="str">
        <x:f>IF(R34&gt;=3,"高",IF(R34&gt;=2,"中","低"))</x:f>
        <x:v>低</x:v>
      </x:c>
      <x:c r="W34" s="89" t="str">
        <x:f>IF(O34=0,"主动伤害被防御完全抵消",IF(N34&gt;0,"受防御影响","无防御影响"))</x:f>
        <x:v>主动伤害被防御完全抵消</x:v>
      </x:c>
    </x:row>
    <x:row r="35" ht="15" hidden="0" customHeight="1">
      <x:c r="A35" s="60" t="str">
        <x:v>oracle</x:v>
      </x:c>
      <x:c r="B35" s="61" t="str">
        <x:v>barbarian</x:v>
      </x:c>
      <x:c r="C35" s="61" t="str">
        <x:f>VLOOKUP(A35,'01_Hero_Base'!$A$5:$P$12,4,FALSE)</x:f>
        <x:v>Magical</x:v>
      </x:c>
      <x:c r="D35" s="61" t="str">
        <x:f>VLOOKUP(B35,'01_Hero_Base'!$A$5:$P$12,4,FALSE)</x:f>
        <x:v>Physical</x:v>
      </x:c>
      <x:c r="E35" s="68" t="n">
        <x:f>VLOOKUP(A35,'01_Hero_Base'!$A$5:$P$12,5,FALSE)</x:f>
        <x:v>1</x:v>
      </x:c>
      <x:c r="F35" s="68" t="n">
        <x:f>VLOOKUP(A35,'01_Hero_Base'!$A$5:$P$12,6,FALSE)</x:f>
        <x:v>1</x:v>
      </x:c>
      <x:c r="G35" s="68" t="n">
        <x:f>VLOOKUP(B35,'01_Hero_Base'!$A$5:$P$12,6,FALSE)</x:f>
        <x:v>4</x:v>
      </x:c>
      <x:c r="H35" s="68" t="n">
        <x:f>VLOOKUP(B35,'01_Hero_Base'!$A$5:$P$12,7,FALSE)</x:f>
        <x:v>18</x:v>
      </x:c>
      <x:c r="I35" s="68" t="n">
        <x:f>VLOOKUP(B35,'01_Hero_Base'!$A$5:$P$12,15,FALSE)</x:f>
        <x:v>0</x:v>
      </x:c>
      <x:c r="J35" s="68" t="n">
        <x:f>VLOOKUP(B35,'01_Hero_Base'!$A$5:$P$12,16,FALSE)</x:f>
        <x:v>0</x:v>
      </x:c>
      <x:c r="K35" s="68" t="n">
        <x:f>VLOOKUP(A35,'01_Hero_Base'!$A$5:$P$12,15,FALSE)</x:f>
        <x:v>0</x:v>
      </x:c>
      <x:c r="L35" s="68" t="n">
        <x:f>VLOOKUP(A35,'01_Hero_Base'!$A$5:$P$12,16,FALSE)</x:f>
        <x:v>1</x:v>
      </x:c>
      <x:c r="M35" s="68" t="n">
        <x:f>F35</x:f>
        <x:v>1</x:v>
      </x:c>
      <x:c r="N35" s="68" t="n">
        <x:f>IF(C35="Physical",I35,IF(C35="Magical",J35,0))</x:f>
        <x:v>0</x:v>
      </x:c>
      <x:c r="O35" s="74" t="n">
        <x:f>MAX(0,M35-N35)</x:f>
        <x:v>1</x:v>
      </x:c>
      <x:c r="P35" s="68" t="n">
        <x:f>MAX(0,G35-'00_Assumptions'!$C$10)</x:f>
        <x:v>3</x:v>
      </x:c>
      <x:c r="Q35" s="68" t="n">
        <x:f>IF(D35="Physical",K35,IF(D35="Magical",L35,0))</x:f>
        <x:v>0</x:v>
      </x:c>
      <x:c r="R35" s="77" t="n">
        <x:f>MAX(0,P35-Q35)</x:f>
        <x:v>3</x:v>
      </x:c>
      <x:c r="S35" s="68" t="n">
        <x:f>O35-R35</x:f>
        <x:v>-2</x:v>
      </x:c>
      <x:c r="T35" s="71" t="n">
        <x:f>IF(E35=0,0,O35/E35)</x:f>
        <x:v>1</x:v>
      </x:c>
      <x:c r="U35" s="80" t="n">
        <x:f>IF(O35=0,"∞",ROUNDUP(H35/O35,0))</x:f>
        <x:v>18</x:v>
      </x:c>
      <x:c r="V35" s="68" t="str">
        <x:f>IF(R35&gt;=3,"高",IF(R35&gt;=2,"中","低"))</x:f>
        <x:v>高</x:v>
      </x:c>
      <x:c r="W35" s="89" t="str">
        <x:f>IF(O35=0,"主动伤害被防御完全抵消",IF(N35&gt;0,"受防御影响","无防御影响"))</x:f>
        <x:v>无防御影响</x:v>
      </x:c>
    </x:row>
    <x:row r="36" ht="15" hidden="0" customHeight="1">
      <x:c r="A36" s="60" t="str">
        <x:v>oracle</x:v>
      </x:c>
      <x:c r="B36" s="61" t="str">
        <x:v>monster</x:v>
      </x:c>
      <x:c r="C36" s="61" t="str">
        <x:f>VLOOKUP(A36,'01_Hero_Base'!$A$5:$P$12,4,FALSE)</x:f>
        <x:v>Magical</x:v>
      </x:c>
      <x:c r="D36" s="61" t="str">
        <x:f>VLOOKUP(B36,'01_Hero_Base'!$A$5:$P$12,4,FALSE)</x:f>
        <x:v>Physical</x:v>
      </x:c>
      <x:c r="E36" s="68" t="n">
        <x:f>VLOOKUP(A36,'01_Hero_Base'!$A$5:$P$12,5,FALSE)</x:f>
        <x:v>1</x:v>
      </x:c>
      <x:c r="F36" s="68" t="n">
        <x:f>VLOOKUP(A36,'01_Hero_Base'!$A$5:$P$12,6,FALSE)</x:f>
        <x:v>1</x:v>
      </x:c>
      <x:c r="G36" s="68" t="n">
        <x:f>VLOOKUP(B36,'01_Hero_Base'!$A$5:$P$12,6,FALSE)</x:f>
        <x:v>3</x:v>
      </x:c>
      <x:c r="H36" s="68" t="n">
        <x:f>VLOOKUP(B36,'01_Hero_Base'!$A$5:$P$12,7,FALSE)</x:f>
        <x:v>22</x:v>
      </x:c>
      <x:c r="I36" s="68" t="n">
        <x:f>VLOOKUP(B36,'01_Hero_Base'!$A$5:$P$12,15,FALSE)</x:f>
        <x:v>1</x:v>
      </x:c>
      <x:c r="J36" s="68" t="n">
        <x:f>VLOOKUP(B36,'01_Hero_Base'!$A$5:$P$12,16,FALSE)</x:f>
        <x:v>0</x:v>
      </x:c>
      <x:c r="K36" s="68" t="n">
        <x:f>VLOOKUP(A36,'01_Hero_Base'!$A$5:$P$12,15,FALSE)</x:f>
        <x:v>0</x:v>
      </x:c>
      <x:c r="L36" s="68" t="n">
        <x:f>VLOOKUP(A36,'01_Hero_Base'!$A$5:$P$12,16,FALSE)</x:f>
        <x:v>1</x:v>
      </x:c>
      <x:c r="M36" s="68" t="n">
        <x:f>F36</x:f>
        <x:v>1</x:v>
      </x:c>
      <x:c r="N36" s="68" t="n">
        <x:f>IF(C36="Physical",I36,IF(C36="Magical",J36,0))</x:f>
        <x:v>0</x:v>
      </x:c>
      <x:c r="O36" s="74" t="n">
        <x:f>MAX(0,M36-N36)</x:f>
        <x:v>1</x:v>
      </x:c>
      <x:c r="P36" s="68" t="n">
        <x:f>MAX(0,G36-'00_Assumptions'!$C$10)</x:f>
        <x:v>2</x:v>
      </x:c>
      <x:c r="Q36" s="68" t="n">
        <x:f>IF(D36="Physical",K36,IF(D36="Magical",L36,0))</x:f>
        <x:v>0</x:v>
      </x:c>
      <x:c r="R36" s="77" t="n">
        <x:f>MAX(0,P36-Q36)</x:f>
        <x:v>2</x:v>
      </x:c>
      <x:c r="S36" s="68" t="n">
        <x:f>O36-R36</x:f>
        <x:v>-1</x:v>
      </x:c>
      <x:c r="T36" s="71" t="n">
        <x:f>IF(E36=0,0,O36/E36)</x:f>
        <x:v>1</x:v>
      </x:c>
      <x:c r="U36" s="80" t="n">
        <x:f>IF(O36=0,"∞",ROUNDUP(H36/O36,0))</x:f>
        <x:v>22</x:v>
      </x:c>
      <x:c r="V36" s="68" t="str">
        <x:f>IF(R36&gt;=3,"高",IF(R36&gt;=2,"中","低"))</x:f>
        <x:v>中</x:v>
      </x:c>
      <x:c r="W36" s="89" t="str">
        <x:f>IF(O36=0,"主动伤害被防御完全抵消",IF(N36&gt;0,"受防御影响","无防御影响"))</x:f>
        <x:v>无防御影响</x:v>
      </x:c>
    </x:row>
    <x:row r="37" ht="15" hidden="0" customHeight="1">
      <x:c r="A37" s="60" t="str">
        <x:v>knight</x:v>
      </x:c>
      <x:c r="B37" s="61" t="str">
        <x:v>peasant</x:v>
      </x:c>
      <x:c r="C37" s="61" t="str">
        <x:f>VLOOKUP(A37,'01_Hero_Base'!$A$5:$P$12,4,FALSE)</x:f>
        <x:v>Physical</x:v>
      </x:c>
      <x:c r="D37" s="61" t="str">
        <x:f>VLOOKUP(B37,'01_Hero_Base'!$A$5:$P$12,4,FALSE)</x:f>
        <x:v>Physical</x:v>
      </x:c>
      <x:c r="E37" s="68" t="n">
        <x:f>VLOOKUP(A37,'01_Hero_Base'!$A$5:$P$12,5,FALSE)</x:f>
        <x:v>3</x:v>
      </x:c>
      <x:c r="F37" s="68" t="n">
        <x:f>VLOOKUP(A37,'01_Hero_Base'!$A$5:$P$12,6,FALSE)</x:f>
        <x:v>3</x:v>
      </x:c>
      <x:c r="G37" s="68" t="n">
        <x:f>VLOOKUP(B37,'01_Hero_Base'!$A$5:$P$12,6,FALSE)</x:f>
        <x:v>2</x:v>
      </x:c>
      <x:c r="H37" s="68" t="n">
        <x:f>VLOOKUP(B37,'01_Hero_Base'!$A$5:$P$12,7,FALSE)</x:f>
        <x:v>16</x:v>
      </x:c>
      <x:c r="I37" s="68" t="n">
        <x:f>VLOOKUP(B37,'01_Hero_Base'!$A$5:$P$12,15,FALSE)</x:f>
        <x:v>0</x:v>
      </x:c>
      <x:c r="J37" s="68" t="n">
        <x:f>VLOOKUP(B37,'01_Hero_Base'!$A$5:$P$12,16,FALSE)</x:f>
        <x:v>0</x:v>
      </x:c>
      <x:c r="K37" s="68" t="n">
        <x:f>VLOOKUP(A37,'01_Hero_Base'!$A$5:$P$12,15,FALSE)</x:f>
        <x:v>1</x:v>
      </x:c>
      <x:c r="L37" s="68" t="n">
        <x:f>VLOOKUP(A37,'01_Hero_Base'!$A$5:$P$12,16,FALSE)</x:f>
        <x:v>0</x:v>
      </x:c>
      <x:c r="M37" s="68" t="n">
        <x:f>F37</x:f>
        <x:v>3</x:v>
      </x:c>
      <x:c r="N37" s="68" t="n">
        <x:f>IF(C37="Physical",I37,IF(C37="Magical",J37,0))</x:f>
        <x:v>0</x:v>
      </x:c>
      <x:c r="O37" s="74" t="n">
        <x:f>MAX(0,M37-N37)</x:f>
        <x:v>3</x:v>
      </x:c>
      <x:c r="P37" s="68" t="n">
        <x:f>MAX(0,G37-'00_Assumptions'!$C$10)</x:f>
        <x:v>1</x:v>
      </x:c>
      <x:c r="Q37" s="68" t="n">
        <x:f>IF(D37="Physical",K37,IF(D37="Magical",L37,0))</x:f>
        <x:v>1</x:v>
      </x:c>
      <x:c r="R37" s="77" t="n">
        <x:f>MAX(0,P37-Q37)</x:f>
        <x:v>0</x:v>
      </x:c>
      <x:c r="S37" s="68" t="n">
        <x:f>O37-R37</x:f>
        <x:v>3</x:v>
      </x:c>
      <x:c r="T37" s="71" t="n">
        <x:f>IF(E37=0,0,O37/E37)</x:f>
        <x:v>1</x:v>
      </x:c>
      <x:c r="U37" s="80" t="n">
        <x:f>IF(O37=0,"∞",ROUNDUP(H37/O37,0))</x:f>
        <x:v>6</x:v>
      </x:c>
      <x:c r="V37" s="68" t="str">
        <x:f>IF(R37&gt;=3,"高",IF(R37&gt;=2,"中","低"))</x:f>
        <x:v>低</x:v>
      </x:c>
      <x:c r="W37" s="89" t="str">
        <x:f>IF(O37=0,"主动伤害被防御完全抵消",IF(N37&gt;0,"受防御影响","无防御影响"))</x:f>
        <x:v>无防御影响</x:v>
      </x:c>
    </x:row>
    <x:row r="38" ht="15" hidden="0" customHeight="1">
      <x:c r="A38" s="60" t="str">
        <x:v>knight</x:v>
      </x:c>
      <x:c r="B38" s="61" t="str">
        <x:v>princess</x:v>
      </x:c>
      <x:c r="C38" s="61" t="str">
        <x:f>VLOOKUP(A38,'01_Hero_Base'!$A$5:$P$12,4,FALSE)</x:f>
        <x:v>Physical</x:v>
      </x:c>
      <x:c r="D38" s="61" t="str">
        <x:f>VLOOKUP(B38,'01_Hero_Base'!$A$5:$P$12,4,FALSE)</x:f>
        <x:v>Physical</x:v>
      </x:c>
      <x:c r="E38" s="68" t="n">
        <x:f>VLOOKUP(A38,'01_Hero_Base'!$A$5:$P$12,5,FALSE)</x:f>
        <x:v>3</x:v>
      </x:c>
      <x:c r="F38" s="68" t="n">
        <x:f>VLOOKUP(A38,'01_Hero_Base'!$A$5:$P$12,6,FALSE)</x:f>
        <x:v>3</x:v>
      </x:c>
      <x:c r="G38" s="68" t="n">
        <x:f>VLOOKUP(B38,'01_Hero_Base'!$A$5:$P$12,6,FALSE)</x:f>
        <x:v>1</x:v>
      </x:c>
      <x:c r="H38" s="68" t="n">
        <x:f>VLOOKUP(B38,'01_Hero_Base'!$A$5:$P$12,7,FALSE)</x:f>
        <x:v>12</x:v>
      </x:c>
      <x:c r="I38" s="68" t="n">
        <x:f>VLOOKUP(B38,'01_Hero_Base'!$A$5:$P$12,15,FALSE)</x:f>
        <x:v>0</x:v>
      </x:c>
      <x:c r="J38" s="68" t="n">
        <x:f>VLOOKUP(B38,'01_Hero_Base'!$A$5:$P$12,16,FALSE)</x:f>
        <x:v>0</x:v>
      </x:c>
      <x:c r="K38" s="68" t="n">
        <x:f>VLOOKUP(A38,'01_Hero_Base'!$A$5:$P$12,15,FALSE)</x:f>
        <x:v>1</x:v>
      </x:c>
      <x:c r="L38" s="68" t="n">
        <x:f>VLOOKUP(A38,'01_Hero_Base'!$A$5:$P$12,16,FALSE)</x:f>
        <x:v>0</x:v>
      </x:c>
      <x:c r="M38" s="68" t="n">
        <x:f>F38</x:f>
        <x:v>3</x:v>
      </x:c>
      <x:c r="N38" s="68" t="n">
        <x:f>IF(C38="Physical",I38,IF(C38="Magical",J38,0))</x:f>
        <x:v>0</x:v>
      </x:c>
      <x:c r="O38" s="74" t="n">
        <x:f>MAX(0,M38-N38)</x:f>
        <x:v>3</x:v>
      </x:c>
      <x:c r="P38" s="68" t="n">
        <x:f>MAX(0,G38-'00_Assumptions'!$C$10)</x:f>
        <x:v>0</x:v>
      </x:c>
      <x:c r="Q38" s="68" t="n">
        <x:f>IF(D38="Physical",K38,IF(D38="Magical",L38,0))</x:f>
        <x:v>1</x:v>
      </x:c>
      <x:c r="R38" s="77" t="n">
        <x:f>MAX(0,P38-Q38)</x:f>
        <x:v>0</x:v>
      </x:c>
      <x:c r="S38" s="68" t="n">
        <x:f>O38-R38</x:f>
        <x:v>3</x:v>
      </x:c>
      <x:c r="T38" s="71" t="n">
        <x:f>IF(E38=0,0,O38/E38)</x:f>
        <x:v>1</x:v>
      </x:c>
      <x:c r="U38" s="80" t="n">
        <x:f>IF(O38=0,"∞",ROUNDUP(H38/O38,0))</x:f>
        <x:v>4</x:v>
      </x:c>
      <x:c r="V38" s="68" t="str">
        <x:f>IF(R38&gt;=3,"高",IF(R38&gt;=2,"中","低"))</x:f>
        <x:v>低</x:v>
      </x:c>
      <x:c r="W38" s="89" t="str">
        <x:f>IF(O38=0,"主动伤害被防御完全抵消",IF(N38&gt;0,"受防御影响","无防御影响"))</x:f>
        <x:v>无防御影响</x:v>
      </x:c>
    </x:row>
    <x:row r="39" ht="15" hidden="0" customHeight="1">
      <x:c r="A39" s="60" t="str">
        <x:v>knight</x:v>
      </x:c>
      <x:c r="B39" s="61" t="str">
        <x:v>mage</x:v>
      </x:c>
      <x:c r="C39" s="61" t="str">
        <x:f>VLOOKUP(A39,'01_Hero_Base'!$A$5:$P$12,4,FALSE)</x:f>
        <x:v>Physical</x:v>
      </x:c>
      <x:c r="D39" s="61" t="str">
        <x:f>VLOOKUP(B39,'01_Hero_Base'!$A$5:$P$12,4,FALSE)</x:f>
        <x:v>Magical</x:v>
      </x:c>
      <x:c r="E39" s="68" t="n">
        <x:f>VLOOKUP(A39,'01_Hero_Base'!$A$5:$P$12,5,FALSE)</x:f>
        <x:v>3</x:v>
      </x:c>
      <x:c r="F39" s="68" t="n">
        <x:f>VLOOKUP(A39,'01_Hero_Base'!$A$5:$P$12,6,FALSE)</x:f>
        <x:v>3</x:v>
      </x:c>
      <x:c r="G39" s="68" t="n">
        <x:f>VLOOKUP(B39,'01_Hero_Base'!$A$5:$P$12,6,FALSE)</x:f>
        <x:v>4</x:v>
      </x:c>
      <x:c r="H39" s="68" t="n">
        <x:f>VLOOKUP(B39,'01_Hero_Base'!$A$5:$P$12,7,FALSE)</x:f>
        <x:v>16</x:v>
      </x:c>
      <x:c r="I39" s="68" t="n">
        <x:f>VLOOKUP(B39,'01_Hero_Base'!$A$5:$P$12,15,FALSE)</x:f>
        <x:v>0</x:v>
      </x:c>
      <x:c r="J39" s="68" t="n">
        <x:f>VLOOKUP(B39,'01_Hero_Base'!$A$5:$P$12,16,FALSE)</x:f>
        <x:v>0</x:v>
      </x:c>
      <x:c r="K39" s="68" t="n">
        <x:f>VLOOKUP(A39,'01_Hero_Base'!$A$5:$P$12,15,FALSE)</x:f>
        <x:v>1</x:v>
      </x:c>
      <x:c r="L39" s="68" t="n">
        <x:f>VLOOKUP(A39,'01_Hero_Base'!$A$5:$P$12,16,FALSE)</x:f>
        <x:v>0</x:v>
      </x:c>
      <x:c r="M39" s="68" t="n">
        <x:f>F39</x:f>
        <x:v>3</x:v>
      </x:c>
      <x:c r="N39" s="68" t="n">
        <x:f>IF(C39="Physical",I39,IF(C39="Magical",J39,0))</x:f>
        <x:v>0</x:v>
      </x:c>
      <x:c r="O39" s="74" t="n">
        <x:f>MAX(0,M39-N39)</x:f>
        <x:v>3</x:v>
      </x:c>
      <x:c r="P39" s="68" t="n">
        <x:f>MAX(0,G39-'00_Assumptions'!$C$10)</x:f>
        <x:v>3</x:v>
      </x:c>
      <x:c r="Q39" s="68" t="n">
        <x:f>IF(D39="Physical",K39,IF(D39="Magical",L39,0))</x:f>
        <x:v>0</x:v>
      </x:c>
      <x:c r="R39" s="77" t="n">
        <x:f>MAX(0,P39-Q39)</x:f>
        <x:v>3</x:v>
      </x:c>
      <x:c r="S39" s="68" t="n">
        <x:f>O39-R39</x:f>
        <x:v>0</x:v>
      </x:c>
      <x:c r="T39" s="71" t="n">
        <x:f>IF(E39=0,0,O39/E39)</x:f>
        <x:v>1</x:v>
      </x:c>
      <x:c r="U39" s="80" t="n">
        <x:f>IF(O39=0,"∞",ROUNDUP(H39/O39,0))</x:f>
        <x:v>6</x:v>
      </x:c>
      <x:c r="V39" s="68" t="str">
        <x:f>IF(R39&gt;=3,"高",IF(R39&gt;=2,"中","低"))</x:f>
        <x:v>高</x:v>
      </x:c>
      <x:c r="W39" s="89" t="str">
        <x:f>IF(O39=0,"主动伤害被防御完全抵消",IF(N39&gt;0,"受防御影响","无防御影响"))</x:f>
        <x:v>无防御影响</x:v>
      </x:c>
    </x:row>
    <x:row r="40" ht="15" hidden="0" customHeight="1">
      <x:c r="A40" s="60" t="str">
        <x:v>knight</x:v>
      </x:c>
      <x:c r="B40" s="61" t="str">
        <x:v>oracle</x:v>
      </x:c>
      <x:c r="C40" s="61" t="str">
        <x:f>VLOOKUP(A40,'01_Hero_Base'!$A$5:$P$12,4,FALSE)</x:f>
        <x:v>Physical</x:v>
      </x:c>
      <x:c r="D40" s="61" t="str">
        <x:f>VLOOKUP(B40,'01_Hero_Base'!$A$5:$P$12,4,FALSE)</x:f>
        <x:v>Magical</x:v>
      </x:c>
      <x:c r="E40" s="68" t="n">
        <x:f>VLOOKUP(A40,'01_Hero_Base'!$A$5:$P$12,5,FALSE)</x:f>
        <x:v>3</x:v>
      </x:c>
      <x:c r="F40" s="68" t="n">
        <x:f>VLOOKUP(A40,'01_Hero_Base'!$A$5:$P$12,6,FALSE)</x:f>
        <x:v>3</x:v>
      </x:c>
      <x:c r="G40" s="68" t="n">
        <x:f>VLOOKUP(B40,'01_Hero_Base'!$A$5:$P$12,6,FALSE)</x:f>
        <x:v>1</x:v>
      </x:c>
      <x:c r="H40" s="68" t="n">
        <x:f>VLOOKUP(B40,'01_Hero_Base'!$A$5:$P$12,7,FALSE)</x:f>
        <x:v>14</x:v>
      </x:c>
      <x:c r="I40" s="68" t="n">
        <x:f>VLOOKUP(B40,'01_Hero_Base'!$A$5:$P$12,15,FALSE)</x:f>
        <x:v>0</x:v>
      </x:c>
      <x:c r="J40" s="68" t="n">
        <x:f>VLOOKUP(B40,'01_Hero_Base'!$A$5:$P$12,16,FALSE)</x:f>
        <x:v>1</x:v>
      </x:c>
      <x:c r="K40" s="68" t="n">
        <x:f>VLOOKUP(A40,'01_Hero_Base'!$A$5:$P$12,15,FALSE)</x:f>
        <x:v>1</x:v>
      </x:c>
      <x:c r="L40" s="68" t="n">
        <x:f>VLOOKUP(A40,'01_Hero_Base'!$A$5:$P$12,16,FALSE)</x:f>
        <x:v>0</x:v>
      </x:c>
      <x:c r="M40" s="68" t="n">
        <x:f>F40</x:f>
        <x:v>3</x:v>
      </x:c>
      <x:c r="N40" s="68" t="n">
        <x:f>IF(C40="Physical",I40,IF(C40="Magical",J40,0))</x:f>
        <x:v>0</x:v>
      </x:c>
      <x:c r="O40" s="74" t="n">
        <x:f>MAX(0,M40-N40)</x:f>
        <x:v>3</x:v>
      </x:c>
      <x:c r="P40" s="68" t="n">
        <x:f>MAX(0,G40-'00_Assumptions'!$C$10)</x:f>
        <x:v>0</x:v>
      </x:c>
      <x:c r="Q40" s="68" t="n">
        <x:f>IF(D40="Physical",K40,IF(D40="Magical",L40,0))</x:f>
        <x:v>0</x:v>
      </x:c>
      <x:c r="R40" s="77" t="n">
        <x:f>MAX(0,P40-Q40)</x:f>
        <x:v>0</x:v>
      </x:c>
      <x:c r="S40" s="68" t="n">
        <x:f>O40-R40</x:f>
        <x:v>3</x:v>
      </x:c>
      <x:c r="T40" s="71" t="n">
        <x:f>IF(E40=0,0,O40/E40)</x:f>
        <x:v>1</x:v>
      </x:c>
      <x:c r="U40" s="80" t="n">
        <x:f>IF(O40=0,"∞",ROUNDUP(H40/O40,0))</x:f>
        <x:v>5</x:v>
      </x:c>
      <x:c r="V40" s="68" t="str">
        <x:f>IF(R40&gt;=3,"高",IF(R40&gt;=2,"中","低"))</x:f>
        <x:v>低</x:v>
      </x:c>
      <x:c r="W40" s="89" t="str">
        <x:f>IF(O40=0,"主动伤害被防御完全抵消",IF(N40&gt;0,"受防御影响","无防御影响"))</x:f>
        <x:v>无防御影响</x:v>
      </x:c>
    </x:row>
    <x:row r="41" ht="15" hidden="0" customHeight="1">
      <x:c r="A41" s="60" t="str">
        <x:v>knight</x:v>
      </x:c>
      <x:c r="B41" s="61" t="str">
        <x:v>knight</x:v>
      </x:c>
      <x:c r="C41" s="61" t="str">
        <x:f>VLOOKUP(A41,'01_Hero_Base'!$A$5:$P$12,4,FALSE)</x:f>
        <x:v>Physical</x:v>
      </x:c>
      <x:c r="D41" s="61" t="str">
        <x:f>VLOOKUP(B41,'01_Hero_Base'!$A$5:$P$12,4,FALSE)</x:f>
        <x:v>Physical</x:v>
      </x:c>
      <x:c r="E41" s="68" t="n">
        <x:f>VLOOKUP(A41,'01_Hero_Base'!$A$5:$P$12,5,FALSE)</x:f>
        <x:v>3</x:v>
      </x:c>
      <x:c r="F41" s="68" t="n">
        <x:f>VLOOKUP(A41,'01_Hero_Base'!$A$5:$P$12,6,FALSE)</x:f>
        <x:v>3</x:v>
      </x:c>
      <x:c r="G41" s="68" t="n">
        <x:f>VLOOKUP(B41,'01_Hero_Base'!$A$5:$P$12,6,FALSE)</x:f>
        <x:v>3</x:v>
      </x:c>
      <x:c r="H41" s="68" t="n">
        <x:f>VLOOKUP(B41,'01_Hero_Base'!$A$5:$P$12,7,FALSE)</x:f>
        <x:v>24</x:v>
      </x:c>
      <x:c r="I41" s="68" t="n">
        <x:f>VLOOKUP(B41,'01_Hero_Base'!$A$5:$P$12,15,FALSE)</x:f>
        <x:v>1</x:v>
      </x:c>
      <x:c r="J41" s="68" t="n">
        <x:f>VLOOKUP(B41,'01_Hero_Base'!$A$5:$P$12,16,FALSE)</x:f>
        <x:v>0</x:v>
      </x:c>
      <x:c r="K41" s="68" t="n">
        <x:f>VLOOKUP(A41,'01_Hero_Base'!$A$5:$P$12,15,FALSE)</x:f>
        <x:v>1</x:v>
      </x:c>
      <x:c r="L41" s="68" t="n">
        <x:f>VLOOKUP(A41,'01_Hero_Base'!$A$5:$P$12,16,FALSE)</x:f>
        <x:v>0</x:v>
      </x:c>
      <x:c r="M41" s="68" t="n">
        <x:f>F41</x:f>
        <x:v>3</x:v>
      </x:c>
      <x:c r="N41" s="68" t="n">
        <x:f>IF(C41="Physical",I41,IF(C41="Magical",J41,0))</x:f>
        <x:v>1</x:v>
      </x:c>
      <x:c r="O41" s="74" t="n">
        <x:f>MAX(0,M41-N41)</x:f>
        <x:v>2</x:v>
      </x:c>
      <x:c r="P41" s="68" t="n">
        <x:f>MAX(0,G41-'00_Assumptions'!$C$10)</x:f>
        <x:v>2</x:v>
      </x:c>
      <x:c r="Q41" s="68" t="n">
        <x:f>IF(D41="Physical",K41,IF(D41="Magical",L41,0))</x:f>
        <x:v>1</x:v>
      </x:c>
      <x:c r="R41" s="77" t="n">
        <x:f>MAX(0,P41-Q41)</x:f>
        <x:v>1</x:v>
      </x:c>
      <x:c r="S41" s="68" t="n">
        <x:f>O41-R41</x:f>
        <x:v>1</x:v>
      </x:c>
      <x:c r="T41" s="71" t="n">
        <x:f>IF(E41=0,0,O41/E41)</x:f>
        <x:v>0.6666666666666666</x:v>
      </x:c>
      <x:c r="U41" s="80" t="n">
        <x:f>IF(O41=0,"∞",ROUNDUP(H41/O41,0))</x:f>
        <x:v>12</x:v>
      </x:c>
      <x:c r="V41" s="68" t="str">
        <x:f>IF(R41&gt;=3,"高",IF(R41&gt;=2,"中","低"))</x:f>
        <x:v>低</x:v>
      </x:c>
      <x:c r="W41" s="89" t="str">
        <x:f>IF(O41=0,"主动伤害被防御完全抵消",IF(N41&gt;0,"受防御影响","无防御影响"))</x:f>
        <x:v>受防御影响</x:v>
      </x:c>
    </x:row>
    <x:row r="42" ht="15" hidden="0" customHeight="1">
      <x:c r="A42" s="60" t="str">
        <x:v>knight</x:v>
      </x:c>
      <x:c r="B42" s="61" t="str">
        <x:v>druid</x:v>
      </x:c>
      <x:c r="C42" s="61" t="str">
        <x:f>VLOOKUP(A42,'01_Hero_Base'!$A$5:$P$12,4,FALSE)</x:f>
        <x:v>Physical</x:v>
      </x:c>
      <x:c r="D42" s="61" t="str">
        <x:f>VLOOKUP(B42,'01_Hero_Base'!$A$5:$P$12,4,FALSE)</x:f>
        <x:v>Magical</x:v>
      </x:c>
      <x:c r="E42" s="68" t="n">
        <x:f>VLOOKUP(A42,'01_Hero_Base'!$A$5:$P$12,5,FALSE)</x:f>
        <x:v>3</x:v>
      </x:c>
      <x:c r="F42" s="68" t="n">
        <x:f>VLOOKUP(A42,'01_Hero_Base'!$A$5:$P$12,6,FALSE)</x:f>
        <x:v>3</x:v>
      </x:c>
      <x:c r="G42" s="68" t="n">
        <x:f>VLOOKUP(B42,'01_Hero_Base'!$A$5:$P$12,6,FALSE)</x:f>
        <x:v>1</x:v>
      </x:c>
      <x:c r="H42" s="68" t="n">
        <x:f>VLOOKUP(B42,'01_Hero_Base'!$A$5:$P$12,7,FALSE)</x:f>
        <x:v>16</x:v>
      </x:c>
      <x:c r="I42" s="68" t="n">
        <x:f>VLOOKUP(B42,'01_Hero_Base'!$A$5:$P$12,15,FALSE)</x:f>
        <x:v>0</x:v>
      </x:c>
      <x:c r="J42" s="68" t="n">
        <x:f>VLOOKUP(B42,'01_Hero_Base'!$A$5:$P$12,16,FALSE)</x:f>
        <x:v>1</x:v>
      </x:c>
      <x:c r="K42" s="68" t="n">
        <x:f>VLOOKUP(A42,'01_Hero_Base'!$A$5:$P$12,15,FALSE)</x:f>
        <x:v>1</x:v>
      </x:c>
      <x:c r="L42" s="68" t="n">
        <x:f>VLOOKUP(A42,'01_Hero_Base'!$A$5:$P$12,16,FALSE)</x:f>
        <x:v>0</x:v>
      </x:c>
      <x:c r="M42" s="68" t="n">
        <x:f>F42</x:f>
        <x:v>3</x:v>
      </x:c>
      <x:c r="N42" s="68" t="n">
        <x:f>IF(C42="Physical",I42,IF(C42="Magical",J42,0))</x:f>
        <x:v>0</x:v>
      </x:c>
      <x:c r="O42" s="74" t="n">
        <x:f>MAX(0,M42-N42)</x:f>
        <x:v>3</x:v>
      </x:c>
      <x:c r="P42" s="68" t="n">
        <x:f>MAX(0,G42-'00_Assumptions'!$C$10)</x:f>
        <x:v>0</x:v>
      </x:c>
      <x:c r="Q42" s="68" t="n">
        <x:f>IF(D42="Physical",K42,IF(D42="Magical",L42,0))</x:f>
        <x:v>0</x:v>
      </x:c>
      <x:c r="R42" s="77" t="n">
        <x:f>MAX(0,P42-Q42)</x:f>
        <x:v>0</x:v>
      </x:c>
      <x:c r="S42" s="68" t="n">
        <x:f>O42-R42</x:f>
        <x:v>3</x:v>
      </x:c>
      <x:c r="T42" s="71" t="n">
        <x:f>IF(E42=0,0,O42/E42)</x:f>
        <x:v>1</x:v>
      </x:c>
      <x:c r="U42" s="80" t="n">
        <x:f>IF(O42=0,"∞",ROUNDUP(H42/O42,0))</x:f>
        <x:v>6</x:v>
      </x:c>
      <x:c r="V42" s="68" t="str">
        <x:f>IF(R42&gt;=3,"高",IF(R42&gt;=2,"中","低"))</x:f>
        <x:v>低</x:v>
      </x:c>
      <x:c r="W42" s="89" t="str">
        <x:f>IF(O42=0,"主动伤害被防御完全抵消",IF(N42&gt;0,"受防御影响","无防御影响"))</x:f>
        <x:v>无防御影响</x:v>
      </x:c>
    </x:row>
    <x:row r="43" ht="15" hidden="0" customHeight="1">
      <x:c r="A43" s="60" t="str">
        <x:v>knight</x:v>
      </x:c>
      <x:c r="B43" s="61" t="str">
        <x:v>barbarian</x:v>
      </x:c>
      <x:c r="C43" s="61" t="str">
        <x:f>VLOOKUP(A43,'01_Hero_Base'!$A$5:$P$12,4,FALSE)</x:f>
        <x:v>Physical</x:v>
      </x:c>
      <x:c r="D43" s="61" t="str">
        <x:f>VLOOKUP(B43,'01_Hero_Base'!$A$5:$P$12,4,FALSE)</x:f>
        <x:v>Physical</x:v>
      </x:c>
      <x:c r="E43" s="68" t="n">
        <x:f>VLOOKUP(A43,'01_Hero_Base'!$A$5:$P$12,5,FALSE)</x:f>
        <x:v>3</x:v>
      </x:c>
      <x:c r="F43" s="68" t="n">
        <x:f>VLOOKUP(A43,'01_Hero_Base'!$A$5:$P$12,6,FALSE)</x:f>
        <x:v>3</x:v>
      </x:c>
      <x:c r="G43" s="68" t="n">
        <x:f>VLOOKUP(B43,'01_Hero_Base'!$A$5:$P$12,6,FALSE)</x:f>
        <x:v>4</x:v>
      </x:c>
      <x:c r="H43" s="68" t="n">
        <x:f>VLOOKUP(B43,'01_Hero_Base'!$A$5:$P$12,7,FALSE)</x:f>
        <x:v>18</x:v>
      </x:c>
      <x:c r="I43" s="68" t="n">
        <x:f>VLOOKUP(B43,'01_Hero_Base'!$A$5:$P$12,15,FALSE)</x:f>
        <x:v>0</x:v>
      </x:c>
      <x:c r="J43" s="68" t="n">
        <x:f>VLOOKUP(B43,'01_Hero_Base'!$A$5:$P$12,16,FALSE)</x:f>
        <x:v>0</x:v>
      </x:c>
      <x:c r="K43" s="68" t="n">
        <x:f>VLOOKUP(A43,'01_Hero_Base'!$A$5:$P$12,15,FALSE)</x:f>
        <x:v>1</x:v>
      </x:c>
      <x:c r="L43" s="68" t="n">
        <x:f>VLOOKUP(A43,'01_Hero_Base'!$A$5:$P$12,16,FALSE)</x:f>
        <x:v>0</x:v>
      </x:c>
      <x:c r="M43" s="68" t="n">
        <x:f>F43</x:f>
        <x:v>3</x:v>
      </x:c>
      <x:c r="N43" s="68" t="n">
        <x:f>IF(C43="Physical",I43,IF(C43="Magical",J43,0))</x:f>
        <x:v>0</x:v>
      </x:c>
      <x:c r="O43" s="74" t="n">
        <x:f>MAX(0,M43-N43)</x:f>
        <x:v>3</x:v>
      </x:c>
      <x:c r="P43" s="68" t="n">
        <x:f>MAX(0,G43-'00_Assumptions'!$C$10)</x:f>
        <x:v>3</x:v>
      </x:c>
      <x:c r="Q43" s="68" t="n">
        <x:f>IF(D43="Physical",K43,IF(D43="Magical",L43,0))</x:f>
        <x:v>1</x:v>
      </x:c>
      <x:c r="R43" s="77" t="n">
        <x:f>MAX(0,P43-Q43)</x:f>
        <x:v>2</x:v>
      </x:c>
      <x:c r="S43" s="68" t="n">
        <x:f>O43-R43</x:f>
        <x:v>1</x:v>
      </x:c>
      <x:c r="T43" s="71" t="n">
        <x:f>IF(E43=0,0,O43/E43)</x:f>
        <x:v>1</x:v>
      </x:c>
      <x:c r="U43" s="80" t="n">
        <x:f>IF(O43=0,"∞",ROUNDUP(H43/O43,0))</x:f>
        <x:v>6</x:v>
      </x:c>
      <x:c r="V43" s="68" t="str">
        <x:f>IF(R43&gt;=3,"高",IF(R43&gt;=2,"中","低"))</x:f>
        <x:v>中</x:v>
      </x:c>
      <x:c r="W43" s="89" t="str">
        <x:f>IF(O43=0,"主动伤害被防御完全抵消",IF(N43&gt;0,"受防御影响","无防御影响"))</x:f>
        <x:v>无防御影响</x:v>
      </x:c>
    </x:row>
    <x:row r="44" ht="15" hidden="0" customHeight="1">
      <x:c r="A44" s="60" t="str">
        <x:v>knight</x:v>
      </x:c>
      <x:c r="B44" s="61" t="str">
        <x:v>monster</x:v>
      </x:c>
      <x:c r="C44" s="61" t="str">
        <x:f>VLOOKUP(A44,'01_Hero_Base'!$A$5:$P$12,4,FALSE)</x:f>
        <x:v>Physical</x:v>
      </x:c>
      <x:c r="D44" s="61" t="str">
        <x:f>VLOOKUP(B44,'01_Hero_Base'!$A$5:$P$12,4,FALSE)</x:f>
        <x:v>Physical</x:v>
      </x:c>
      <x:c r="E44" s="68" t="n">
        <x:f>VLOOKUP(A44,'01_Hero_Base'!$A$5:$P$12,5,FALSE)</x:f>
        <x:v>3</x:v>
      </x:c>
      <x:c r="F44" s="68" t="n">
        <x:f>VLOOKUP(A44,'01_Hero_Base'!$A$5:$P$12,6,FALSE)</x:f>
        <x:v>3</x:v>
      </x:c>
      <x:c r="G44" s="68" t="n">
        <x:f>VLOOKUP(B44,'01_Hero_Base'!$A$5:$P$12,6,FALSE)</x:f>
        <x:v>3</x:v>
      </x:c>
      <x:c r="H44" s="68" t="n">
        <x:f>VLOOKUP(B44,'01_Hero_Base'!$A$5:$P$12,7,FALSE)</x:f>
        <x:v>22</x:v>
      </x:c>
      <x:c r="I44" s="68" t="n">
        <x:f>VLOOKUP(B44,'01_Hero_Base'!$A$5:$P$12,15,FALSE)</x:f>
        <x:v>1</x:v>
      </x:c>
      <x:c r="J44" s="68" t="n">
        <x:f>VLOOKUP(B44,'01_Hero_Base'!$A$5:$P$12,16,FALSE)</x:f>
        <x:v>0</x:v>
      </x:c>
      <x:c r="K44" s="68" t="n">
        <x:f>VLOOKUP(A44,'01_Hero_Base'!$A$5:$P$12,15,FALSE)</x:f>
        <x:v>1</x:v>
      </x:c>
      <x:c r="L44" s="68" t="n">
        <x:f>VLOOKUP(A44,'01_Hero_Base'!$A$5:$P$12,16,FALSE)</x:f>
        <x:v>0</x:v>
      </x:c>
      <x:c r="M44" s="68" t="n">
        <x:f>F44</x:f>
        <x:v>3</x:v>
      </x:c>
      <x:c r="N44" s="68" t="n">
        <x:f>IF(C44="Physical",I44,IF(C44="Magical",J44,0))</x:f>
        <x:v>1</x:v>
      </x:c>
      <x:c r="O44" s="74" t="n">
        <x:f>MAX(0,M44-N44)</x:f>
        <x:v>2</x:v>
      </x:c>
      <x:c r="P44" s="68" t="n">
        <x:f>MAX(0,G44-'00_Assumptions'!$C$10)</x:f>
        <x:v>2</x:v>
      </x:c>
      <x:c r="Q44" s="68" t="n">
        <x:f>IF(D44="Physical",K44,IF(D44="Magical",L44,0))</x:f>
        <x:v>1</x:v>
      </x:c>
      <x:c r="R44" s="77" t="n">
        <x:f>MAX(0,P44-Q44)</x:f>
        <x:v>1</x:v>
      </x:c>
      <x:c r="S44" s="68" t="n">
        <x:f>O44-R44</x:f>
        <x:v>1</x:v>
      </x:c>
      <x:c r="T44" s="71" t="n">
        <x:f>IF(E44=0,0,O44/E44)</x:f>
        <x:v>0.6666666666666666</x:v>
      </x:c>
      <x:c r="U44" s="80" t="n">
        <x:f>IF(O44=0,"∞",ROUNDUP(H44/O44,0))</x:f>
        <x:v>11</x:v>
      </x:c>
      <x:c r="V44" s="68" t="str">
        <x:f>IF(R44&gt;=3,"高",IF(R44&gt;=2,"中","低"))</x:f>
        <x:v>低</x:v>
      </x:c>
      <x:c r="W44" s="89" t="str">
        <x:f>IF(O44=0,"主动伤害被防御完全抵消",IF(N44&gt;0,"受防御影响","无防御影响"))</x:f>
        <x:v>受防御影响</x:v>
      </x:c>
    </x:row>
    <x:row r="45" ht="15" hidden="0" customHeight="1">
      <x:c r="A45" s="60" t="str">
        <x:v>druid</x:v>
      </x:c>
      <x:c r="B45" s="61" t="str">
        <x:v>peasant</x:v>
      </x:c>
      <x:c r="C45" s="61" t="str">
        <x:f>VLOOKUP(A45,'01_Hero_Base'!$A$5:$P$12,4,FALSE)</x:f>
        <x:v>Magical</x:v>
      </x:c>
      <x:c r="D45" s="61" t="str">
        <x:f>VLOOKUP(B45,'01_Hero_Base'!$A$5:$P$12,4,FALSE)</x:f>
        <x:v>Physical</x:v>
      </x:c>
      <x:c r="E45" s="68" t="n">
        <x:f>VLOOKUP(A45,'01_Hero_Base'!$A$5:$P$12,5,FALSE)</x:f>
        <x:v>1</x:v>
      </x:c>
      <x:c r="F45" s="68" t="n">
        <x:f>VLOOKUP(A45,'01_Hero_Base'!$A$5:$P$12,6,FALSE)</x:f>
        <x:v>1</x:v>
      </x:c>
      <x:c r="G45" s="68" t="n">
        <x:f>VLOOKUP(B45,'01_Hero_Base'!$A$5:$P$12,6,FALSE)</x:f>
        <x:v>2</x:v>
      </x:c>
      <x:c r="H45" s="68" t="n">
        <x:f>VLOOKUP(B45,'01_Hero_Base'!$A$5:$P$12,7,FALSE)</x:f>
        <x:v>16</x:v>
      </x:c>
      <x:c r="I45" s="68" t="n">
        <x:f>VLOOKUP(B45,'01_Hero_Base'!$A$5:$P$12,15,FALSE)</x:f>
        <x:v>0</x:v>
      </x:c>
      <x:c r="J45" s="68" t="n">
        <x:f>VLOOKUP(B45,'01_Hero_Base'!$A$5:$P$12,16,FALSE)</x:f>
        <x:v>0</x:v>
      </x:c>
      <x:c r="K45" s="68" t="n">
        <x:f>VLOOKUP(A45,'01_Hero_Base'!$A$5:$P$12,15,FALSE)</x:f>
        <x:v>0</x:v>
      </x:c>
      <x:c r="L45" s="68" t="n">
        <x:f>VLOOKUP(A45,'01_Hero_Base'!$A$5:$P$12,16,FALSE)</x:f>
        <x:v>1</x:v>
      </x:c>
      <x:c r="M45" s="68" t="n">
        <x:f>F45</x:f>
        <x:v>1</x:v>
      </x:c>
      <x:c r="N45" s="68" t="n">
        <x:f>IF(C45="Physical",I45,IF(C45="Magical",J45,0))</x:f>
        <x:v>0</x:v>
      </x:c>
      <x:c r="O45" s="74" t="n">
        <x:f>MAX(0,M45-N45)</x:f>
        <x:v>1</x:v>
      </x:c>
      <x:c r="P45" s="68" t="n">
        <x:f>MAX(0,G45-'00_Assumptions'!$C$10)</x:f>
        <x:v>1</x:v>
      </x:c>
      <x:c r="Q45" s="68" t="n">
        <x:f>IF(D45="Physical",K45,IF(D45="Magical",L45,0))</x:f>
        <x:v>0</x:v>
      </x:c>
      <x:c r="R45" s="77" t="n">
        <x:f>MAX(0,P45-Q45)</x:f>
        <x:v>1</x:v>
      </x:c>
      <x:c r="S45" s="68" t="n">
        <x:f>O45-R45</x:f>
        <x:v>0</x:v>
      </x:c>
      <x:c r="T45" s="71" t="n">
        <x:f>IF(E45=0,0,O45/E45)</x:f>
        <x:v>1</x:v>
      </x:c>
      <x:c r="U45" s="80" t="n">
        <x:f>IF(O45=0,"∞",ROUNDUP(H45/O45,0))</x:f>
        <x:v>16</x:v>
      </x:c>
      <x:c r="V45" s="68" t="str">
        <x:f>IF(R45&gt;=3,"高",IF(R45&gt;=2,"中","低"))</x:f>
        <x:v>低</x:v>
      </x:c>
      <x:c r="W45" s="89" t="str">
        <x:f>IF(O45=0,"主动伤害被防御完全抵消",IF(N45&gt;0,"受防御影响","无防御影响"))</x:f>
        <x:v>无防御影响</x:v>
      </x:c>
    </x:row>
    <x:row r="46" ht="15" hidden="0" customHeight="1">
      <x:c r="A46" s="60" t="str">
        <x:v>druid</x:v>
      </x:c>
      <x:c r="B46" s="61" t="str">
        <x:v>princess</x:v>
      </x:c>
      <x:c r="C46" s="61" t="str">
        <x:f>VLOOKUP(A46,'01_Hero_Base'!$A$5:$P$12,4,FALSE)</x:f>
        <x:v>Magical</x:v>
      </x:c>
      <x:c r="D46" s="61" t="str">
        <x:f>VLOOKUP(B46,'01_Hero_Base'!$A$5:$P$12,4,FALSE)</x:f>
        <x:v>Physical</x:v>
      </x:c>
      <x:c r="E46" s="68" t="n">
        <x:f>VLOOKUP(A46,'01_Hero_Base'!$A$5:$P$12,5,FALSE)</x:f>
        <x:v>1</x:v>
      </x:c>
      <x:c r="F46" s="68" t="n">
        <x:f>VLOOKUP(A46,'01_Hero_Base'!$A$5:$P$12,6,FALSE)</x:f>
        <x:v>1</x:v>
      </x:c>
      <x:c r="G46" s="68" t="n">
        <x:f>VLOOKUP(B46,'01_Hero_Base'!$A$5:$P$12,6,FALSE)</x:f>
        <x:v>1</x:v>
      </x:c>
      <x:c r="H46" s="68" t="n">
        <x:f>VLOOKUP(B46,'01_Hero_Base'!$A$5:$P$12,7,FALSE)</x:f>
        <x:v>12</x:v>
      </x:c>
      <x:c r="I46" s="68" t="n">
        <x:f>VLOOKUP(B46,'01_Hero_Base'!$A$5:$P$12,15,FALSE)</x:f>
        <x:v>0</x:v>
      </x:c>
      <x:c r="J46" s="68" t="n">
        <x:f>VLOOKUP(B46,'01_Hero_Base'!$A$5:$P$12,16,FALSE)</x:f>
        <x:v>0</x:v>
      </x:c>
      <x:c r="K46" s="68" t="n">
        <x:f>VLOOKUP(A46,'01_Hero_Base'!$A$5:$P$12,15,FALSE)</x:f>
        <x:v>0</x:v>
      </x:c>
      <x:c r="L46" s="68" t="n">
        <x:f>VLOOKUP(A46,'01_Hero_Base'!$A$5:$P$12,16,FALSE)</x:f>
        <x:v>1</x:v>
      </x:c>
      <x:c r="M46" s="68" t="n">
        <x:f>F46</x:f>
        <x:v>1</x:v>
      </x:c>
      <x:c r="N46" s="68" t="n">
        <x:f>IF(C46="Physical",I46,IF(C46="Magical",J46,0))</x:f>
        <x:v>0</x:v>
      </x:c>
      <x:c r="O46" s="74" t="n">
        <x:f>MAX(0,M46-N46)</x:f>
        <x:v>1</x:v>
      </x:c>
      <x:c r="P46" s="68" t="n">
        <x:f>MAX(0,G46-'00_Assumptions'!$C$10)</x:f>
        <x:v>0</x:v>
      </x:c>
      <x:c r="Q46" s="68" t="n">
        <x:f>IF(D46="Physical",K46,IF(D46="Magical",L46,0))</x:f>
        <x:v>0</x:v>
      </x:c>
      <x:c r="R46" s="77" t="n">
        <x:f>MAX(0,P46-Q46)</x:f>
        <x:v>0</x:v>
      </x:c>
      <x:c r="S46" s="68" t="n">
        <x:f>O46-R46</x:f>
        <x:v>1</x:v>
      </x:c>
      <x:c r="T46" s="71" t="n">
        <x:f>IF(E46=0,0,O46/E46)</x:f>
        <x:v>1</x:v>
      </x:c>
      <x:c r="U46" s="80" t="n">
        <x:f>IF(O46=0,"∞",ROUNDUP(H46/O46,0))</x:f>
        <x:v>12</x:v>
      </x:c>
      <x:c r="V46" s="68" t="str">
        <x:f>IF(R46&gt;=3,"高",IF(R46&gt;=2,"中","低"))</x:f>
        <x:v>低</x:v>
      </x:c>
      <x:c r="W46" s="89" t="str">
        <x:f>IF(O46=0,"主动伤害被防御完全抵消",IF(N46&gt;0,"受防御影响","无防御影响"))</x:f>
        <x:v>无防御影响</x:v>
      </x:c>
    </x:row>
    <x:row r="47" ht="15" hidden="0" customHeight="1">
      <x:c r="A47" s="60" t="str">
        <x:v>druid</x:v>
      </x:c>
      <x:c r="B47" s="61" t="str">
        <x:v>mage</x:v>
      </x:c>
      <x:c r="C47" s="61" t="str">
        <x:f>VLOOKUP(A47,'01_Hero_Base'!$A$5:$P$12,4,FALSE)</x:f>
        <x:v>Magical</x:v>
      </x:c>
      <x:c r="D47" s="61" t="str">
        <x:f>VLOOKUP(B47,'01_Hero_Base'!$A$5:$P$12,4,FALSE)</x:f>
        <x:v>Magical</x:v>
      </x:c>
      <x:c r="E47" s="68" t="n">
        <x:f>VLOOKUP(A47,'01_Hero_Base'!$A$5:$P$12,5,FALSE)</x:f>
        <x:v>1</x:v>
      </x:c>
      <x:c r="F47" s="68" t="n">
        <x:f>VLOOKUP(A47,'01_Hero_Base'!$A$5:$P$12,6,FALSE)</x:f>
        <x:v>1</x:v>
      </x:c>
      <x:c r="G47" s="68" t="n">
        <x:f>VLOOKUP(B47,'01_Hero_Base'!$A$5:$P$12,6,FALSE)</x:f>
        <x:v>4</x:v>
      </x:c>
      <x:c r="H47" s="68" t="n">
        <x:f>VLOOKUP(B47,'01_Hero_Base'!$A$5:$P$12,7,FALSE)</x:f>
        <x:v>16</x:v>
      </x:c>
      <x:c r="I47" s="68" t="n">
        <x:f>VLOOKUP(B47,'01_Hero_Base'!$A$5:$P$12,15,FALSE)</x:f>
        <x:v>0</x:v>
      </x:c>
      <x:c r="J47" s="68" t="n">
        <x:f>VLOOKUP(B47,'01_Hero_Base'!$A$5:$P$12,16,FALSE)</x:f>
        <x:v>0</x:v>
      </x:c>
      <x:c r="K47" s="68" t="n">
        <x:f>VLOOKUP(A47,'01_Hero_Base'!$A$5:$P$12,15,FALSE)</x:f>
        <x:v>0</x:v>
      </x:c>
      <x:c r="L47" s="68" t="n">
        <x:f>VLOOKUP(A47,'01_Hero_Base'!$A$5:$P$12,16,FALSE)</x:f>
        <x:v>1</x:v>
      </x:c>
      <x:c r="M47" s="68" t="n">
        <x:f>F47</x:f>
        <x:v>1</x:v>
      </x:c>
      <x:c r="N47" s="68" t="n">
        <x:f>IF(C47="Physical",I47,IF(C47="Magical",J47,0))</x:f>
        <x:v>0</x:v>
      </x:c>
      <x:c r="O47" s="74" t="n">
        <x:f>MAX(0,M47-N47)</x:f>
        <x:v>1</x:v>
      </x:c>
      <x:c r="P47" s="68" t="n">
        <x:f>MAX(0,G47-'00_Assumptions'!$C$10)</x:f>
        <x:v>3</x:v>
      </x:c>
      <x:c r="Q47" s="68" t="n">
        <x:f>IF(D47="Physical",K47,IF(D47="Magical",L47,0))</x:f>
        <x:v>1</x:v>
      </x:c>
      <x:c r="R47" s="77" t="n">
        <x:f>MAX(0,P47-Q47)</x:f>
        <x:v>2</x:v>
      </x:c>
      <x:c r="S47" s="68" t="n">
        <x:f>O47-R47</x:f>
        <x:v>-1</x:v>
      </x:c>
      <x:c r="T47" s="71" t="n">
        <x:f>IF(E47=0,0,O47/E47)</x:f>
        <x:v>1</x:v>
      </x:c>
      <x:c r="U47" s="80" t="n">
        <x:f>IF(O47=0,"∞",ROUNDUP(H47/O47,0))</x:f>
        <x:v>16</x:v>
      </x:c>
      <x:c r="V47" s="68" t="str">
        <x:f>IF(R47&gt;=3,"高",IF(R47&gt;=2,"中","低"))</x:f>
        <x:v>中</x:v>
      </x:c>
      <x:c r="W47" s="89" t="str">
        <x:f>IF(O47=0,"主动伤害被防御完全抵消",IF(N47&gt;0,"受防御影响","无防御影响"))</x:f>
        <x:v>无防御影响</x:v>
      </x:c>
    </x:row>
    <x:row r="48" ht="15" hidden="0" customHeight="1">
      <x:c r="A48" s="60" t="str">
        <x:v>druid</x:v>
      </x:c>
      <x:c r="B48" s="61" t="str">
        <x:v>oracle</x:v>
      </x:c>
      <x:c r="C48" s="61" t="str">
        <x:f>VLOOKUP(A48,'01_Hero_Base'!$A$5:$P$12,4,FALSE)</x:f>
        <x:v>Magical</x:v>
      </x:c>
      <x:c r="D48" s="61" t="str">
        <x:f>VLOOKUP(B48,'01_Hero_Base'!$A$5:$P$12,4,FALSE)</x:f>
        <x:v>Magical</x:v>
      </x:c>
      <x:c r="E48" s="68" t="n">
        <x:f>VLOOKUP(A48,'01_Hero_Base'!$A$5:$P$12,5,FALSE)</x:f>
        <x:v>1</x:v>
      </x:c>
      <x:c r="F48" s="68" t="n">
        <x:f>VLOOKUP(A48,'01_Hero_Base'!$A$5:$P$12,6,FALSE)</x:f>
        <x:v>1</x:v>
      </x:c>
      <x:c r="G48" s="68" t="n">
        <x:f>VLOOKUP(B48,'01_Hero_Base'!$A$5:$P$12,6,FALSE)</x:f>
        <x:v>1</x:v>
      </x:c>
      <x:c r="H48" s="68" t="n">
        <x:f>VLOOKUP(B48,'01_Hero_Base'!$A$5:$P$12,7,FALSE)</x:f>
        <x:v>14</x:v>
      </x:c>
      <x:c r="I48" s="68" t="n">
        <x:f>VLOOKUP(B48,'01_Hero_Base'!$A$5:$P$12,15,FALSE)</x:f>
        <x:v>0</x:v>
      </x:c>
      <x:c r="J48" s="68" t="n">
        <x:f>VLOOKUP(B48,'01_Hero_Base'!$A$5:$P$12,16,FALSE)</x:f>
        <x:v>1</x:v>
      </x:c>
      <x:c r="K48" s="68" t="n">
        <x:f>VLOOKUP(A48,'01_Hero_Base'!$A$5:$P$12,15,FALSE)</x:f>
        <x:v>0</x:v>
      </x:c>
      <x:c r="L48" s="68" t="n">
        <x:f>VLOOKUP(A48,'01_Hero_Base'!$A$5:$P$12,16,FALSE)</x:f>
        <x:v>1</x:v>
      </x:c>
      <x:c r="M48" s="68" t="n">
        <x:f>F48</x:f>
        <x:v>1</x:v>
      </x:c>
      <x:c r="N48" s="68" t="n">
        <x:f>IF(C48="Physical",I48,IF(C48="Magical",J48,0))</x:f>
        <x:v>1</x:v>
      </x:c>
      <x:c r="O48" s="74" t="n">
        <x:f>MAX(0,M48-N48)</x:f>
        <x:v>0</x:v>
      </x:c>
      <x:c r="P48" s="68" t="n">
        <x:f>MAX(0,G48-'00_Assumptions'!$C$10)</x:f>
        <x:v>0</x:v>
      </x:c>
      <x:c r="Q48" s="68" t="n">
        <x:f>IF(D48="Physical",K48,IF(D48="Magical",L48,0))</x:f>
        <x:v>1</x:v>
      </x:c>
      <x:c r="R48" s="77" t="n">
        <x:f>MAX(0,P48-Q48)</x:f>
        <x:v>0</x:v>
      </x:c>
      <x:c r="S48" s="68" t="n">
        <x:f>O48-R48</x:f>
        <x:v>0</x:v>
      </x:c>
      <x:c r="T48" s="71" t="n">
        <x:f>IF(E48=0,0,O48/E48)</x:f>
        <x:v>0</x:v>
      </x:c>
      <x:c r="U48" s="80" t="str">
        <x:f>IF(O48=0,"∞",ROUNDUP(H48/O48,0))</x:f>
        <x:v>∞</x:v>
      </x:c>
      <x:c r="V48" s="68" t="str">
        <x:f>IF(R48&gt;=3,"高",IF(R48&gt;=2,"中","低"))</x:f>
        <x:v>低</x:v>
      </x:c>
      <x:c r="W48" s="89" t="str">
        <x:f>IF(O48=0,"主动伤害被防御完全抵消",IF(N48&gt;0,"受防御影响","无防御影响"))</x:f>
        <x:v>主动伤害被防御完全抵消</x:v>
      </x:c>
    </x:row>
    <x:row r="49" ht="15" hidden="0" customHeight="1">
      <x:c r="A49" s="60" t="str">
        <x:v>druid</x:v>
      </x:c>
      <x:c r="B49" s="61" t="str">
        <x:v>knight</x:v>
      </x:c>
      <x:c r="C49" s="61" t="str">
        <x:f>VLOOKUP(A49,'01_Hero_Base'!$A$5:$P$12,4,FALSE)</x:f>
        <x:v>Magical</x:v>
      </x:c>
      <x:c r="D49" s="61" t="str">
        <x:f>VLOOKUP(B49,'01_Hero_Base'!$A$5:$P$12,4,FALSE)</x:f>
        <x:v>Physical</x:v>
      </x:c>
      <x:c r="E49" s="68" t="n">
        <x:f>VLOOKUP(A49,'01_Hero_Base'!$A$5:$P$12,5,FALSE)</x:f>
        <x:v>1</x:v>
      </x:c>
      <x:c r="F49" s="68" t="n">
        <x:f>VLOOKUP(A49,'01_Hero_Base'!$A$5:$P$12,6,FALSE)</x:f>
        <x:v>1</x:v>
      </x:c>
      <x:c r="G49" s="68" t="n">
        <x:f>VLOOKUP(B49,'01_Hero_Base'!$A$5:$P$12,6,FALSE)</x:f>
        <x:v>3</x:v>
      </x:c>
      <x:c r="H49" s="68" t="n">
        <x:f>VLOOKUP(B49,'01_Hero_Base'!$A$5:$P$12,7,FALSE)</x:f>
        <x:v>24</x:v>
      </x:c>
      <x:c r="I49" s="68" t="n">
        <x:f>VLOOKUP(B49,'01_Hero_Base'!$A$5:$P$12,15,FALSE)</x:f>
        <x:v>1</x:v>
      </x:c>
      <x:c r="J49" s="68" t="n">
        <x:f>VLOOKUP(B49,'01_Hero_Base'!$A$5:$P$12,16,FALSE)</x:f>
        <x:v>0</x:v>
      </x:c>
      <x:c r="K49" s="68" t="n">
        <x:f>VLOOKUP(A49,'01_Hero_Base'!$A$5:$P$12,15,FALSE)</x:f>
        <x:v>0</x:v>
      </x:c>
      <x:c r="L49" s="68" t="n">
        <x:f>VLOOKUP(A49,'01_Hero_Base'!$A$5:$P$12,16,FALSE)</x:f>
        <x:v>1</x:v>
      </x:c>
      <x:c r="M49" s="68" t="n">
        <x:f>F49</x:f>
        <x:v>1</x:v>
      </x:c>
      <x:c r="N49" s="68" t="n">
        <x:f>IF(C49="Physical",I49,IF(C49="Magical",J49,0))</x:f>
        <x:v>0</x:v>
      </x:c>
      <x:c r="O49" s="74" t="n">
        <x:f>MAX(0,M49-N49)</x:f>
        <x:v>1</x:v>
      </x:c>
      <x:c r="P49" s="68" t="n">
        <x:f>MAX(0,G49-'00_Assumptions'!$C$10)</x:f>
        <x:v>2</x:v>
      </x:c>
      <x:c r="Q49" s="68" t="n">
        <x:f>IF(D49="Physical",K49,IF(D49="Magical",L49,0))</x:f>
        <x:v>0</x:v>
      </x:c>
      <x:c r="R49" s="77" t="n">
        <x:f>MAX(0,P49-Q49)</x:f>
        <x:v>2</x:v>
      </x:c>
      <x:c r="S49" s="68" t="n">
        <x:f>O49-R49</x:f>
        <x:v>-1</x:v>
      </x:c>
      <x:c r="T49" s="71" t="n">
        <x:f>IF(E49=0,0,O49/E49)</x:f>
        <x:v>1</x:v>
      </x:c>
      <x:c r="U49" s="80" t="n">
        <x:f>IF(O49=0,"∞",ROUNDUP(H49/O49,0))</x:f>
        <x:v>24</x:v>
      </x:c>
      <x:c r="V49" s="68" t="str">
        <x:f>IF(R49&gt;=3,"高",IF(R49&gt;=2,"中","低"))</x:f>
        <x:v>中</x:v>
      </x:c>
      <x:c r="W49" s="89" t="str">
        <x:f>IF(O49=0,"主动伤害被防御完全抵消",IF(N49&gt;0,"受防御影响","无防御影响"))</x:f>
        <x:v>无防御影响</x:v>
      </x:c>
    </x:row>
    <x:row r="50" ht="15" hidden="0" customHeight="1">
      <x:c r="A50" s="60" t="str">
        <x:v>druid</x:v>
      </x:c>
      <x:c r="B50" s="61" t="str">
        <x:v>druid</x:v>
      </x:c>
      <x:c r="C50" s="61" t="str">
        <x:f>VLOOKUP(A50,'01_Hero_Base'!$A$5:$P$12,4,FALSE)</x:f>
        <x:v>Magical</x:v>
      </x:c>
      <x:c r="D50" s="61" t="str">
        <x:f>VLOOKUP(B50,'01_Hero_Base'!$A$5:$P$12,4,FALSE)</x:f>
        <x:v>Magical</x:v>
      </x:c>
      <x:c r="E50" s="68" t="n">
        <x:f>VLOOKUP(A50,'01_Hero_Base'!$A$5:$P$12,5,FALSE)</x:f>
        <x:v>1</x:v>
      </x:c>
      <x:c r="F50" s="68" t="n">
        <x:f>VLOOKUP(A50,'01_Hero_Base'!$A$5:$P$12,6,FALSE)</x:f>
        <x:v>1</x:v>
      </x:c>
      <x:c r="G50" s="68" t="n">
        <x:f>VLOOKUP(B50,'01_Hero_Base'!$A$5:$P$12,6,FALSE)</x:f>
        <x:v>1</x:v>
      </x:c>
      <x:c r="H50" s="68" t="n">
        <x:f>VLOOKUP(B50,'01_Hero_Base'!$A$5:$P$12,7,FALSE)</x:f>
        <x:v>16</x:v>
      </x:c>
      <x:c r="I50" s="68" t="n">
        <x:f>VLOOKUP(B50,'01_Hero_Base'!$A$5:$P$12,15,FALSE)</x:f>
        <x:v>0</x:v>
      </x:c>
      <x:c r="J50" s="68" t="n">
        <x:f>VLOOKUP(B50,'01_Hero_Base'!$A$5:$P$12,16,FALSE)</x:f>
        <x:v>1</x:v>
      </x:c>
      <x:c r="K50" s="68" t="n">
        <x:f>VLOOKUP(A50,'01_Hero_Base'!$A$5:$P$12,15,FALSE)</x:f>
        <x:v>0</x:v>
      </x:c>
      <x:c r="L50" s="68" t="n">
        <x:f>VLOOKUP(A50,'01_Hero_Base'!$A$5:$P$12,16,FALSE)</x:f>
        <x:v>1</x:v>
      </x:c>
      <x:c r="M50" s="68" t="n">
        <x:f>F50</x:f>
        <x:v>1</x:v>
      </x:c>
      <x:c r="N50" s="68" t="n">
        <x:f>IF(C50="Physical",I50,IF(C50="Magical",J50,0))</x:f>
        <x:v>1</x:v>
      </x:c>
      <x:c r="O50" s="74" t="n">
        <x:f>MAX(0,M50-N50)</x:f>
        <x:v>0</x:v>
      </x:c>
      <x:c r="P50" s="68" t="n">
        <x:f>MAX(0,G50-'00_Assumptions'!$C$10)</x:f>
        <x:v>0</x:v>
      </x:c>
      <x:c r="Q50" s="68" t="n">
        <x:f>IF(D50="Physical",K50,IF(D50="Magical",L50,0))</x:f>
        <x:v>1</x:v>
      </x:c>
      <x:c r="R50" s="77" t="n">
        <x:f>MAX(0,P50-Q50)</x:f>
        <x:v>0</x:v>
      </x:c>
      <x:c r="S50" s="68" t="n">
        <x:f>O50-R50</x:f>
        <x:v>0</x:v>
      </x:c>
      <x:c r="T50" s="71" t="n">
        <x:f>IF(E50=0,0,O50/E50)</x:f>
        <x:v>0</x:v>
      </x:c>
      <x:c r="U50" s="80" t="str">
        <x:f>IF(O50=0,"∞",ROUNDUP(H50/O50,0))</x:f>
        <x:v>∞</x:v>
      </x:c>
      <x:c r="V50" s="68" t="str">
        <x:f>IF(R50&gt;=3,"高",IF(R50&gt;=2,"中","低"))</x:f>
        <x:v>低</x:v>
      </x:c>
      <x:c r="W50" s="89" t="str">
        <x:f>IF(O50=0,"主动伤害被防御完全抵消",IF(N50&gt;0,"受防御影响","无防御影响"))</x:f>
        <x:v>主动伤害被防御完全抵消</x:v>
      </x:c>
    </x:row>
    <x:row r="51" ht="15" hidden="0" customHeight="1">
      <x:c r="A51" s="60" t="str">
        <x:v>druid</x:v>
      </x:c>
      <x:c r="B51" s="61" t="str">
        <x:v>barbarian</x:v>
      </x:c>
      <x:c r="C51" s="61" t="str">
        <x:f>VLOOKUP(A51,'01_Hero_Base'!$A$5:$P$12,4,FALSE)</x:f>
        <x:v>Magical</x:v>
      </x:c>
      <x:c r="D51" s="61" t="str">
        <x:f>VLOOKUP(B51,'01_Hero_Base'!$A$5:$P$12,4,FALSE)</x:f>
        <x:v>Physical</x:v>
      </x:c>
      <x:c r="E51" s="68" t="n">
        <x:f>VLOOKUP(A51,'01_Hero_Base'!$A$5:$P$12,5,FALSE)</x:f>
        <x:v>1</x:v>
      </x:c>
      <x:c r="F51" s="68" t="n">
        <x:f>VLOOKUP(A51,'01_Hero_Base'!$A$5:$P$12,6,FALSE)</x:f>
        <x:v>1</x:v>
      </x:c>
      <x:c r="G51" s="68" t="n">
        <x:f>VLOOKUP(B51,'01_Hero_Base'!$A$5:$P$12,6,FALSE)</x:f>
        <x:v>4</x:v>
      </x:c>
      <x:c r="H51" s="68" t="n">
        <x:f>VLOOKUP(B51,'01_Hero_Base'!$A$5:$P$12,7,FALSE)</x:f>
        <x:v>18</x:v>
      </x:c>
      <x:c r="I51" s="68" t="n">
        <x:f>VLOOKUP(B51,'01_Hero_Base'!$A$5:$P$12,15,FALSE)</x:f>
        <x:v>0</x:v>
      </x:c>
      <x:c r="J51" s="68" t="n">
        <x:f>VLOOKUP(B51,'01_Hero_Base'!$A$5:$P$12,16,FALSE)</x:f>
        <x:v>0</x:v>
      </x:c>
      <x:c r="K51" s="68" t="n">
        <x:f>VLOOKUP(A51,'01_Hero_Base'!$A$5:$P$12,15,FALSE)</x:f>
        <x:v>0</x:v>
      </x:c>
      <x:c r="L51" s="68" t="n">
        <x:f>VLOOKUP(A51,'01_Hero_Base'!$A$5:$P$12,16,FALSE)</x:f>
        <x:v>1</x:v>
      </x:c>
      <x:c r="M51" s="68" t="n">
        <x:f>F51</x:f>
        <x:v>1</x:v>
      </x:c>
      <x:c r="N51" s="68" t="n">
        <x:f>IF(C51="Physical",I51,IF(C51="Magical",J51,0))</x:f>
        <x:v>0</x:v>
      </x:c>
      <x:c r="O51" s="74" t="n">
        <x:f>MAX(0,M51-N51)</x:f>
        <x:v>1</x:v>
      </x:c>
      <x:c r="P51" s="68" t="n">
        <x:f>MAX(0,G51-'00_Assumptions'!$C$10)</x:f>
        <x:v>3</x:v>
      </x:c>
      <x:c r="Q51" s="68" t="n">
        <x:f>IF(D51="Physical",K51,IF(D51="Magical",L51,0))</x:f>
        <x:v>0</x:v>
      </x:c>
      <x:c r="R51" s="77" t="n">
        <x:f>MAX(0,P51-Q51)</x:f>
        <x:v>3</x:v>
      </x:c>
      <x:c r="S51" s="68" t="n">
        <x:f>O51-R51</x:f>
        <x:v>-2</x:v>
      </x:c>
      <x:c r="T51" s="71" t="n">
        <x:f>IF(E51=0,0,O51/E51)</x:f>
        <x:v>1</x:v>
      </x:c>
      <x:c r="U51" s="80" t="n">
        <x:f>IF(O51=0,"∞",ROUNDUP(H51/O51,0))</x:f>
        <x:v>18</x:v>
      </x:c>
      <x:c r="V51" s="68" t="str">
        <x:f>IF(R51&gt;=3,"高",IF(R51&gt;=2,"中","低"))</x:f>
        <x:v>高</x:v>
      </x:c>
      <x:c r="W51" s="89" t="str">
        <x:f>IF(O51=0,"主动伤害被防御完全抵消",IF(N51&gt;0,"受防御影响","无防御影响"))</x:f>
        <x:v>无防御影响</x:v>
      </x:c>
    </x:row>
    <x:row r="52" ht="15" hidden="0" customHeight="1">
      <x:c r="A52" s="60" t="str">
        <x:v>druid</x:v>
      </x:c>
      <x:c r="B52" s="61" t="str">
        <x:v>monster</x:v>
      </x:c>
      <x:c r="C52" s="61" t="str">
        <x:f>VLOOKUP(A52,'01_Hero_Base'!$A$5:$P$12,4,FALSE)</x:f>
        <x:v>Magical</x:v>
      </x:c>
      <x:c r="D52" s="61" t="str">
        <x:f>VLOOKUP(B52,'01_Hero_Base'!$A$5:$P$12,4,FALSE)</x:f>
        <x:v>Physical</x:v>
      </x:c>
      <x:c r="E52" s="68" t="n">
        <x:f>VLOOKUP(A52,'01_Hero_Base'!$A$5:$P$12,5,FALSE)</x:f>
        <x:v>1</x:v>
      </x:c>
      <x:c r="F52" s="68" t="n">
        <x:f>VLOOKUP(A52,'01_Hero_Base'!$A$5:$P$12,6,FALSE)</x:f>
        <x:v>1</x:v>
      </x:c>
      <x:c r="G52" s="68" t="n">
        <x:f>VLOOKUP(B52,'01_Hero_Base'!$A$5:$P$12,6,FALSE)</x:f>
        <x:v>3</x:v>
      </x:c>
      <x:c r="H52" s="68" t="n">
        <x:f>VLOOKUP(B52,'01_Hero_Base'!$A$5:$P$12,7,FALSE)</x:f>
        <x:v>22</x:v>
      </x:c>
      <x:c r="I52" s="68" t="n">
        <x:f>VLOOKUP(B52,'01_Hero_Base'!$A$5:$P$12,15,FALSE)</x:f>
        <x:v>1</x:v>
      </x:c>
      <x:c r="J52" s="68" t="n">
        <x:f>VLOOKUP(B52,'01_Hero_Base'!$A$5:$P$12,16,FALSE)</x:f>
        <x:v>0</x:v>
      </x:c>
      <x:c r="K52" s="68" t="n">
        <x:f>VLOOKUP(A52,'01_Hero_Base'!$A$5:$P$12,15,FALSE)</x:f>
        <x:v>0</x:v>
      </x:c>
      <x:c r="L52" s="68" t="n">
        <x:f>VLOOKUP(A52,'01_Hero_Base'!$A$5:$P$12,16,FALSE)</x:f>
        <x:v>1</x:v>
      </x:c>
      <x:c r="M52" s="68" t="n">
        <x:f>F52</x:f>
        <x:v>1</x:v>
      </x:c>
      <x:c r="N52" s="68" t="n">
        <x:f>IF(C52="Physical",I52,IF(C52="Magical",J52,0))</x:f>
        <x:v>0</x:v>
      </x:c>
      <x:c r="O52" s="74" t="n">
        <x:f>MAX(0,M52-N52)</x:f>
        <x:v>1</x:v>
      </x:c>
      <x:c r="P52" s="68" t="n">
        <x:f>MAX(0,G52-'00_Assumptions'!$C$10)</x:f>
        <x:v>2</x:v>
      </x:c>
      <x:c r="Q52" s="68" t="n">
        <x:f>IF(D52="Physical",K52,IF(D52="Magical",L52,0))</x:f>
        <x:v>0</x:v>
      </x:c>
      <x:c r="R52" s="77" t="n">
        <x:f>MAX(0,P52-Q52)</x:f>
        <x:v>2</x:v>
      </x:c>
      <x:c r="S52" s="68" t="n">
        <x:f>O52-R52</x:f>
        <x:v>-1</x:v>
      </x:c>
      <x:c r="T52" s="71" t="n">
        <x:f>IF(E52=0,0,O52/E52)</x:f>
        <x:v>1</x:v>
      </x:c>
      <x:c r="U52" s="80" t="n">
        <x:f>IF(O52=0,"∞",ROUNDUP(H52/O52,0))</x:f>
        <x:v>22</x:v>
      </x:c>
      <x:c r="V52" s="68" t="str">
        <x:f>IF(R52&gt;=3,"高",IF(R52&gt;=2,"中","低"))</x:f>
        <x:v>中</x:v>
      </x:c>
      <x:c r="W52" s="89" t="str">
        <x:f>IF(O52=0,"主动伤害被防御完全抵消",IF(N52&gt;0,"受防御影响","无防御影响"))</x:f>
        <x:v>无防御影响</x:v>
      </x:c>
    </x:row>
    <x:row r="53" ht="15" hidden="0" customHeight="1">
      <x:c r="A53" s="60" t="str">
        <x:v>barbarian</x:v>
      </x:c>
      <x:c r="B53" s="61" t="str">
        <x:v>peasant</x:v>
      </x:c>
      <x:c r="C53" s="61" t="str">
        <x:f>VLOOKUP(A53,'01_Hero_Base'!$A$5:$P$12,4,FALSE)</x:f>
        <x:v>Physical</x:v>
      </x:c>
      <x:c r="D53" s="61" t="str">
        <x:f>VLOOKUP(B53,'01_Hero_Base'!$A$5:$P$12,4,FALSE)</x:f>
        <x:v>Physical</x:v>
      </x:c>
      <x:c r="E53" s="68" t="n">
        <x:f>VLOOKUP(A53,'01_Hero_Base'!$A$5:$P$12,5,FALSE)</x:f>
        <x:v>2</x:v>
      </x:c>
      <x:c r="F53" s="68" t="n">
        <x:f>VLOOKUP(A53,'01_Hero_Base'!$A$5:$P$12,6,FALSE)</x:f>
        <x:v>4</x:v>
      </x:c>
      <x:c r="G53" s="68" t="n">
        <x:f>VLOOKUP(B53,'01_Hero_Base'!$A$5:$P$12,6,FALSE)</x:f>
        <x:v>2</x:v>
      </x:c>
      <x:c r="H53" s="68" t="n">
        <x:f>VLOOKUP(B53,'01_Hero_Base'!$A$5:$P$12,7,FALSE)</x:f>
        <x:v>16</x:v>
      </x:c>
      <x:c r="I53" s="68" t="n">
        <x:f>VLOOKUP(B53,'01_Hero_Base'!$A$5:$P$12,15,FALSE)</x:f>
        <x:v>0</x:v>
      </x:c>
      <x:c r="J53" s="68" t="n">
        <x:f>VLOOKUP(B53,'01_Hero_Base'!$A$5:$P$12,16,FALSE)</x:f>
        <x:v>0</x:v>
      </x:c>
      <x:c r="K53" s="68" t="n">
        <x:f>VLOOKUP(A53,'01_Hero_Base'!$A$5:$P$12,15,FALSE)</x:f>
        <x:v>0</x:v>
      </x:c>
      <x:c r="L53" s="68" t="n">
        <x:f>VLOOKUP(A53,'01_Hero_Base'!$A$5:$P$12,16,FALSE)</x:f>
        <x:v>0</x:v>
      </x:c>
      <x:c r="M53" s="68" t="n">
        <x:f>F53</x:f>
        <x:v>4</x:v>
      </x:c>
      <x:c r="N53" s="68" t="n">
        <x:f>IF(C53="Physical",I53,IF(C53="Magical",J53,0))</x:f>
        <x:v>0</x:v>
      </x:c>
      <x:c r="O53" s="74" t="n">
        <x:f>MAX(0,M53-N53)</x:f>
        <x:v>4</x:v>
      </x:c>
      <x:c r="P53" s="68" t="n">
        <x:f>MAX(0,G53-'00_Assumptions'!$C$10)</x:f>
        <x:v>1</x:v>
      </x:c>
      <x:c r="Q53" s="68" t="n">
        <x:f>IF(D53="Physical",K53,IF(D53="Magical",L53,0))</x:f>
        <x:v>0</x:v>
      </x:c>
      <x:c r="R53" s="77" t="n">
        <x:f>MAX(0,P53-Q53)</x:f>
        <x:v>1</x:v>
      </x:c>
      <x:c r="S53" s="68" t="n">
        <x:f>O53-R53</x:f>
        <x:v>3</x:v>
      </x:c>
      <x:c r="T53" s="71" t="n">
        <x:f>IF(E53=0,0,O53/E53)</x:f>
        <x:v>2</x:v>
      </x:c>
      <x:c r="U53" s="80" t="n">
        <x:f>IF(O53=0,"∞",ROUNDUP(H53/O53,0))</x:f>
        <x:v>4</x:v>
      </x:c>
      <x:c r="V53" s="68" t="str">
        <x:f>IF(R53&gt;=3,"高",IF(R53&gt;=2,"中","低"))</x:f>
        <x:v>低</x:v>
      </x:c>
      <x:c r="W53" s="89" t="str">
        <x:f>IF(O53=0,"主动伤害被防御完全抵消",IF(N53&gt;0,"受防御影响","无防御影响"))</x:f>
        <x:v>无防御影响</x:v>
      </x:c>
    </x:row>
    <x:row r="54" ht="15" hidden="0" customHeight="1">
      <x:c r="A54" s="60" t="str">
        <x:v>barbarian</x:v>
      </x:c>
      <x:c r="B54" s="61" t="str">
        <x:v>princess</x:v>
      </x:c>
      <x:c r="C54" s="61" t="str">
        <x:f>VLOOKUP(A54,'01_Hero_Base'!$A$5:$P$12,4,FALSE)</x:f>
        <x:v>Physical</x:v>
      </x:c>
      <x:c r="D54" s="61" t="str">
        <x:f>VLOOKUP(B54,'01_Hero_Base'!$A$5:$P$12,4,FALSE)</x:f>
        <x:v>Physical</x:v>
      </x:c>
      <x:c r="E54" s="68" t="n">
        <x:f>VLOOKUP(A54,'01_Hero_Base'!$A$5:$P$12,5,FALSE)</x:f>
        <x:v>2</x:v>
      </x:c>
      <x:c r="F54" s="68" t="n">
        <x:f>VLOOKUP(A54,'01_Hero_Base'!$A$5:$P$12,6,FALSE)</x:f>
        <x:v>4</x:v>
      </x:c>
      <x:c r="G54" s="68" t="n">
        <x:f>VLOOKUP(B54,'01_Hero_Base'!$A$5:$P$12,6,FALSE)</x:f>
        <x:v>1</x:v>
      </x:c>
      <x:c r="H54" s="68" t="n">
        <x:f>VLOOKUP(B54,'01_Hero_Base'!$A$5:$P$12,7,FALSE)</x:f>
        <x:v>12</x:v>
      </x:c>
      <x:c r="I54" s="68" t="n">
        <x:f>VLOOKUP(B54,'01_Hero_Base'!$A$5:$P$12,15,FALSE)</x:f>
        <x:v>0</x:v>
      </x:c>
      <x:c r="J54" s="68" t="n">
        <x:f>VLOOKUP(B54,'01_Hero_Base'!$A$5:$P$12,16,FALSE)</x:f>
        <x:v>0</x:v>
      </x:c>
      <x:c r="K54" s="68" t="n">
        <x:f>VLOOKUP(A54,'01_Hero_Base'!$A$5:$P$12,15,FALSE)</x:f>
        <x:v>0</x:v>
      </x:c>
      <x:c r="L54" s="68" t="n">
        <x:f>VLOOKUP(A54,'01_Hero_Base'!$A$5:$P$12,16,FALSE)</x:f>
        <x:v>0</x:v>
      </x:c>
      <x:c r="M54" s="68" t="n">
        <x:f>F54</x:f>
        <x:v>4</x:v>
      </x:c>
      <x:c r="N54" s="68" t="n">
        <x:f>IF(C54="Physical",I54,IF(C54="Magical",J54,0))</x:f>
        <x:v>0</x:v>
      </x:c>
      <x:c r="O54" s="74" t="n">
        <x:f>MAX(0,M54-N54)</x:f>
        <x:v>4</x:v>
      </x:c>
      <x:c r="P54" s="68" t="n">
        <x:f>MAX(0,G54-'00_Assumptions'!$C$10)</x:f>
        <x:v>0</x:v>
      </x:c>
      <x:c r="Q54" s="68" t="n">
        <x:f>IF(D54="Physical",K54,IF(D54="Magical",L54,0))</x:f>
        <x:v>0</x:v>
      </x:c>
      <x:c r="R54" s="77" t="n">
        <x:f>MAX(0,P54-Q54)</x:f>
        <x:v>0</x:v>
      </x:c>
      <x:c r="S54" s="68" t="n">
        <x:f>O54-R54</x:f>
        <x:v>4</x:v>
      </x:c>
      <x:c r="T54" s="71" t="n">
        <x:f>IF(E54=0,0,O54/E54)</x:f>
        <x:v>2</x:v>
      </x:c>
      <x:c r="U54" s="80" t="n">
        <x:f>IF(O54=0,"∞",ROUNDUP(H54/O54,0))</x:f>
        <x:v>3</x:v>
      </x:c>
      <x:c r="V54" s="68" t="str">
        <x:f>IF(R54&gt;=3,"高",IF(R54&gt;=2,"中","低"))</x:f>
        <x:v>低</x:v>
      </x:c>
      <x:c r="W54" s="89" t="str">
        <x:f>IF(O54=0,"主动伤害被防御完全抵消",IF(N54&gt;0,"受防御影响","无防御影响"))</x:f>
        <x:v>无防御影响</x:v>
      </x:c>
    </x:row>
    <x:row r="55" ht="15" hidden="0" customHeight="1">
      <x:c r="A55" s="60" t="str">
        <x:v>barbarian</x:v>
      </x:c>
      <x:c r="B55" s="61" t="str">
        <x:v>mage</x:v>
      </x:c>
      <x:c r="C55" s="61" t="str">
        <x:f>VLOOKUP(A55,'01_Hero_Base'!$A$5:$P$12,4,FALSE)</x:f>
        <x:v>Physical</x:v>
      </x:c>
      <x:c r="D55" s="61" t="str">
        <x:f>VLOOKUP(B55,'01_Hero_Base'!$A$5:$P$12,4,FALSE)</x:f>
        <x:v>Magical</x:v>
      </x:c>
      <x:c r="E55" s="68" t="n">
        <x:f>VLOOKUP(A55,'01_Hero_Base'!$A$5:$P$12,5,FALSE)</x:f>
        <x:v>2</x:v>
      </x:c>
      <x:c r="F55" s="68" t="n">
        <x:f>VLOOKUP(A55,'01_Hero_Base'!$A$5:$P$12,6,FALSE)</x:f>
        <x:v>4</x:v>
      </x:c>
      <x:c r="G55" s="68" t="n">
        <x:f>VLOOKUP(B55,'01_Hero_Base'!$A$5:$P$12,6,FALSE)</x:f>
        <x:v>4</x:v>
      </x:c>
      <x:c r="H55" s="68" t="n">
        <x:f>VLOOKUP(B55,'01_Hero_Base'!$A$5:$P$12,7,FALSE)</x:f>
        <x:v>16</x:v>
      </x:c>
      <x:c r="I55" s="68" t="n">
        <x:f>VLOOKUP(B55,'01_Hero_Base'!$A$5:$P$12,15,FALSE)</x:f>
        <x:v>0</x:v>
      </x:c>
      <x:c r="J55" s="68" t="n">
        <x:f>VLOOKUP(B55,'01_Hero_Base'!$A$5:$P$12,16,FALSE)</x:f>
        <x:v>0</x:v>
      </x:c>
      <x:c r="K55" s="68" t="n">
        <x:f>VLOOKUP(A55,'01_Hero_Base'!$A$5:$P$12,15,FALSE)</x:f>
        <x:v>0</x:v>
      </x:c>
      <x:c r="L55" s="68" t="n">
        <x:f>VLOOKUP(A55,'01_Hero_Base'!$A$5:$P$12,16,FALSE)</x:f>
        <x:v>0</x:v>
      </x:c>
      <x:c r="M55" s="68" t="n">
        <x:f>F55</x:f>
        <x:v>4</x:v>
      </x:c>
      <x:c r="N55" s="68" t="n">
        <x:f>IF(C55="Physical",I55,IF(C55="Magical",J55,0))</x:f>
        <x:v>0</x:v>
      </x:c>
      <x:c r="O55" s="74" t="n">
        <x:f>MAX(0,M55-N55)</x:f>
        <x:v>4</x:v>
      </x:c>
      <x:c r="P55" s="68" t="n">
        <x:f>MAX(0,G55-'00_Assumptions'!$C$10)</x:f>
        <x:v>3</x:v>
      </x:c>
      <x:c r="Q55" s="68" t="n">
        <x:f>IF(D55="Physical",K55,IF(D55="Magical",L55,0))</x:f>
        <x:v>0</x:v>
      </x:c>
      <x:c r="R55" s="77" t="n">
        <x:f>MAX(0,P55-Q55)</x:f>
        <x:v>3</x:v>
      </x:c>
      <x:c r="S55" s="68" t="n">
        <x:f>O55-R55</x:f>
        <x:v>1</x:v>
      </x:c>
      <x:c r="T55" s="71" t="n">
        <x:f>IF(E55=0,0,O55/E55)</x:f>
        <x:v>2</x:v>
      </x:c>
      <x:c r="U55" s="80" t="n">
        <x:f>IF(O55=0,"∞",ROUNDUP(H55/O55,0))</x:f>
        <x:v>4</x:v>
      </x:c>
      <x:c r="V55" s="68" t="str">
        <x:f>IF(R55&gt;=3,"高",IF(R55&gt;=2,"中","低"))</x:f>
        <x:v>高</x:v>
      </x:c>
      <x:c r="W55" s="89" t="str">
        <x:f>IF(O55=0,"主动伤害被防御完全抵消",IF(N55&gt;0,"受防御影响","无防御影响"))</x:f>
        <x:v>无防御影响</x:v>
      </x:c>
    </x:row>
    <x:row r="56" ht="15" hidden="0" customHeight="1">
      <x:c r="A56" s="60" t="str">
        <x:v>barbarian</x:v>
      </x:c>
      <x:c r="B56" s="61" t="str">
        <x:v>oracle</x:v>
      </x:c>
      <x:c r="C56" s="61" t="str">
        <x:f>VLOOKUP(A56,'01_Hero_Base'!$A$5:$P$12,4,FALSE)</x:f>
        <x:v>Physical</x:v>
      </x:c>
      <x:c r="D56" s="61" t="str">
        <x:f>VLOOKUP(B56,'01_Hero_Base'!$A$5:$P$12,4,FALSE)</x:f>
        <x:v>Magical</x:v>
      </x:c>
      <x:c r="E56" s="68" t="n">
        <x:f>VLOOKUP(A56,'01_Hero_Base'!$A$5:$P$12,5,FALSE)</x:f>
        <x:v>2</x:v>
      </x:c>
      <x:c r="F56" s="68" t="n">
        <x:f>VLOOKUP(A56,'01_Hero_Base'!$A$5:$P$12,6,FALSE)</x:f>
        <x:v>4</x:v>
      </x:c>
      <x:c r="G56" s="68" t="n">
        <x:f>VLOOKUP(B56,'01_Hero_Base'!$A$5:$P$12,6,FALSE)</x:f>
        <x:v>1</x:v>
      </x:c>
      <x:c r="H56" s="68" t="n">
        <x:f>VLOOKUP(B56,'01_Hero_Base'!$A$5:$P$12,7,FALSE)</x:f>
        <x:v>14</x:v>
      </x:c>
      <x:c r="I56" s="68" t="n">
        <x:f>VLOOKUP(B56,'01_Hero_Base'!$A$5:$P$12,15,FALSE)</x:f>
        <x:v>0</x:v>
      </x:c>
      <x:c r="J56" s="68" t="n">
        <x:f>VLOOKUP(B56,'01_Hero_Base'!$A$5:$P$12,16,FALSE)</x:f>
        <x:v>1</x:v>
      </x:c>
      <x:c r="K56" s="68" t="n">
        <x:f>VLOOKUP(A56,'01_Hero_Base'!$A$5:$P$12,15,FALSE)</x:f>
        <x:v>0</x:v>
      </x:c>
      <x:c r="L56" s="68" t="n">
        <x:f>VLOOKUP(A56,'01_Hero_Base'!$A$5:$P$12,16,FALSE)</x:f>
        <x:v>0</x:v>
      </x:c>
      <x:c r="M56" s="68" t="n">
        <x:f>F56</x:f>
        <x:v>4</x:v>
      </x:c>
      <x:c r="N56" s="68" t="n">
        <x:f>IF(C56="Physical",I56,IF(C56="Magical",J56,0))</x:f>
        <x:v>0</x:v>
      </x:c>
      <x:c r="O56" s="74" t="n">
        <x:f>MAX(0,M56-N56)</x:f>
        <x:v>4</x:v>
      </x:c>
      <x:c r="P56" s="68" t="n">
        <x:f>MAX(0,G56-'00_Assumptions'!$C$10)</x:f>
        <x:v>0</x:v>
      </x:c>
      <x:c r="Q56" s="68" t="n">
        <x:f>IF(D56="Physical",K56,IF(D56="Magical",L56,0))</x:f>
        <x:v>0</x:v>
      </x:c>
      <x:c r="R56" s="77" t="n">
        <x:f>MAX(0,P56-Q56)</x:f>
        <x:v>0</x:v>
      </x:c>
      <x:c r="S56" s="68" t="n">
        <x:f>O56-R56</x:f>
        <x:v>4</x:v>
      </x:c>
      <x:c r="T56" s="71" t="n">
        <x:f>IF(E56=0,0,O56/E56)</x:f>
        <x:v>2</x:v>
      </x:c>
      <x:c r="U56" s="80" t="n">
        <x:f>IF(O56=0,"∞",ROUNDUP(H56/O56,0))</x:f>
        <x:v>4</x:v>
      </x:c>
      <x:c r="V56" s="68" t="str">
        <x:f>IF(R56&gt;=3,"高",IF(R56&gt;=2,"中","低"))</x:f>
        <x:v>低</x:v>
      </x:c>
      <x:c r="W56" s="89" t="str">
        <x:f>IF(O56=0,"主动伤害被防御完全抵消",IF(N56&gt;0,"受防御影响","无防御影响"))</x:f>
        <x:v>无防御影响</x:v>
      </x:c>
    </x:row>
    <x:row r="57" ht="15" hidden="0" customHeight="1">
      <x:c r="A57" s="60" t="str">
        <x:v>barbarian</x:v>
      </x:c>
      <x:c r="B57" s="61" t="str">
        <x:v>knight</x:v>
      </x:c>
      <x:c r="C57" s="61" t="str">
        <x:f>VLOOKUP(A57,'01_Hero_Base'!$A$5:$P$12,4,FALSE)</x:f>
        <x:v>Physical</x:v>
      </x:c>
      <x:c r="D57" s="61" t="str">
        <x:f>VLOOKUP(B57,'01_Hero_Base'!$A$5:$P$12,4,FALSE)</x:f>
        <x:v>Physical</x:v>
      </x:c>
      <x:c r="E57" s="68" t="n">
        <x:f>VLOOKUP(A57,'01_Hero_Base'!$A$5:$P$12,5,FALSE)</x:f>
        <x:v>2</x:v>
      </x:c>
      <x:c r="F57" s="68" t="n">
        <x:f>VLOOKUP(A57,'01_Hero_Base'!$A$5:$P$12,6,FALSE)</x:f>
        <x:v>4</x:v>
      </x:c>
      <x:c r="G57" s="68" t="n">
        <x:f>VLOOKUP(B57,'01_Hero_Base'!$A$5:$P$12,6,FALSE)</x:f>
        <x:v>3</x:v>
      </x:c>
      <x:c r="H57" s="68" t="n">
        <x:f>VLOOKUP(B57,'01_Hero_Base'!$A$5:$P$12,7,FALSE)</x:f>
        <x:v>24</x:v>
      </x:c>
      <x:c r="I57" s="68" t="n">
        <x:f>VLOOKUP(B57,'01_Hero_Base'!$A$5:$P$12,15,FALSE)</x:f>
        <x:v>1</x:v>
      </x:c>
      <x:c r="J57" s="68" t="n">
        <x:f>VLOOKUP(B57,'01_Hero_Base'!$A$5:$P$12,16,FALSE)</x:f>
        <x:v>0</x:v>
      </x:c>
      <x:c r="K57" s="68" t="n">
        <x:f>VLOOKUP(A57,'01_Hero_Base'!$A$5:$P$12,15,FALSE)</x:f>
        <x:v>0</x:v>
      </x:c>
      <x:c r="L57" s="68" t="n">
        <x:f>VLOOKUP(A57,'01_Hero_Base'!$A$5:$P$12,16,FALSE)</x:f>
        <x:v>0</x:v>
      </x:c>
      <x:c r="M57" s="68" t="n">
        <x:f>F57</x:f>
        <x:v>4</x:v>
      </x:c>
      <x:c r="N57" s="68" t="n">
        <x:f>IF(C57="Physical",I57,IF(C57="Magical",J57,0))</x:f>
        <x:v>1</x:v>
      </x:c>
      <x:c r="O57" s="74" t="n">
        <x:f>MAX(0,M57-N57)</x:f>
        <x:v>3</x:v>
      </x:c>
      <x:c r="P57" s="68" t="n">
        <x:f>MAX(0,G57-'00_Assumptions'!$C$10)</x:f>
        <x:v>2</x:v>
      </x:c>
      <x:c r="Q57" s="68" t="n">
        <x:f>IF(D57="Physical",K57,IF(D57="Magical",L57,0))</x:f>
        <x:v>0</x:v>
      </x:c>
      <x:c r="R57" s="77" t="n">
        <x:f>MAX(0,P57-Q57)</x:f>
        <x:v>2</x:v>
      </x:c>
      <x:c r="S57" s="68" t="n">
        <x:f>O57-R57</x:f>
        <x:v>1</x:v>
      </x:c>
      <x:c r="T57" s="71" t="n">
        <x:f>IF(E57=0,0,O57/E57)</x:f>
        <x:v>1.5</x:v>
      </x:c>
      <x:c r="U57" s="80" t="n">
        <x:f>IF(O57=0,"∞",ROUNDUP(H57/O57,0))</x:f>
        <x:v>8</x:v>
      </x:c>
      <x:c r="V57" s="68" t="str">
        <x:f>IF(R57&gt;=3,"高",IF(R57&gt;=2,"中","低"))</x:f>
        <x:v>中</x:v>
      </x:c>
      <x:c r="W57" s="89" t="str">
        <x:f>IF(O57=0,"主动伤害被防御完全抵消",IF(N57&gt;0,"受防御影响","无防御影响"))</x:f>
        <x:v>受防御影响</x:v>
      </x:c>
    </x:row>
    <x:row r="58" ht="15" hidden="0" customHeight="1">
      <x:c r="A58" s="60" t="str">
        <x:v>barbarian</x:v>
      </x:c>
      <x:c r="B58" s="61" t="str">
        <x:v>druid</x:v>
      </x:c>
      <x:c r="C58" s="61" t="str">
        <x:f>VLOOKUP(A58,'01_Hero_Base'!$A$5:$P$12,4,FALSE)</x:f>
        <x:v>Physical</x:v>
      </x:c>
      <x:c r="D58" s="61" t="str">
        <x:f>VLOOKUP(B58,'01_Hero_Base'!$A$5:$P$12,4,FALSE)</x:f>
        <x:v>Magical</x:v>
      </x:c>
      <x:c r="E58" s="68" t="n">
        <x:f>VLOOKUP(A58,'01_Hero_Base'!$A$5:$P$12,5,FALSE)</x:f>
        <x:v>2</x:v>
      </x:c>
      <x:c r="F58" s="68" t="n">
        <x:f>VLOOKUP(A58,'01_Hero_Base'!$A$5:$P$12,6,FALSE)</x:f>
        <x:v>4</x:v>
      </x:c>
      <x:c r="G58" s="68" t="n">
        <x:f>VLOOKUP(B58,'01_Hero_Base'!$A$5:$P$12,6,FALSE)</x:f>
        <x:v>1</x:v>
      </x:c>
      <x:c r="H58" s="68" t="n">
        <x:f>VLOOKUP(B58,'01_Hero_Base'!$A$5:$P$12,7,FALSE)</x:f>
        <x:v>16</x:v>
      </x:c>
      <x:c r="I58" s="68" t="n">
        <x:f>VLOOKUP(B58,'01_Hero_Base'!$A$5:$P$12,15,FALSE)</x:f>
        <x:v>0</x:v>
      </x:c>
      <x:c r="J58" s="68" t="n">
        <x:f>VLOOKUP(B58,'01_Hero_Base'!$A$5:$P$12,16,FALSE)</x:f>
        <x:v>1</x:v>
      </x:c>
      <x:c r="K58" s="68" t="n">
        <x:f>VLOOKUP(A58,'01_Hero_Base'!$A$5:$P$12,15,FALSE)</x:f>
        <x:v>0</x:v>
      </x:c>
      <x:c r="L58" s="68" t="n">
        <x:f>VLOOKUP(A58,'01_Hero_Base'!$A$5:$P$12,16,FALSE)</x:f>
        <x:v>0</x:v>
      </x:c>
      <x:c r="M58" s="68" t="n">
        <x:f>F58</x:f>
        <x:v>4</x:v>
      </x:c>
      <x:c r="N58" s="68" t="n">
        <x:f>IF(C58="Physical",I58,IF(C58="Magical",J58,0))</x:f>
        <x:v>0</x:v>
      </x:c>
      <x:c r="O58" s="74" t="n">
        <x:f>MAX(0,M58-N58)</x:f>
        <x:v>4</x:v>
      </x:c>
      <x:c r="P58" s="68" t="n">
        <x:f>MAX(0,G58-'00_Assumptions'!$C$10)</x:f>
        <x:v>0</x:v>
      </x:c>
      <x:c r="Q58" s="68" t="n">
        <x:f>IF(D58="Physical",K58,IF(D58="Magical",L58,0))</x:f>
        <x:v>0</x:v>
      </x:c>
      <x:c r="R58" s="77" t="n">
        <x:f>MAX(0,P58-Q58)</x:f>
        <x:v>0</x:v>
      </x:c>
      <x:c r="S58" s="68" t="n">
        <x:f>O58-R58</x:f>
        <x:v>4</x:v>
      </x:c>
      <x:c r="T58" s="71" t="n">
        <x:f>IF(E58=0,0,O58/E58)</x:f>
        <x:v>2</x:v>
      </x:c>
      <x:c r="U58" s="80" t="n">
        <x:f>IF(O58=0,"∞",ROUNDUP(H58/O58,0))</x:f>
        <x:v>4</x:v>
      </x:c>
      <x:c r="V58" s="68" t="str">
        <x:f>IF(R58&gt;=3,"高",IF(R58&gt;=2,"中","低"))</x:f>
        <x:v>低</x:v>
      </x:c>
      <x:c r="W58" s="89" t="str">
        <x:f>IF(O58=0,"主动伤害被防御完全抵消",IF(N58&gt;0,"受防御影响","无防御影响"))</x:f>
        <x:v>无防御影响</x:v>
      </x:c>
    </x:row>
    <x:row r="59" ht="15" hidden="0" customHeight="1">
      <x:c r="A59" s="60" t="str">
        <x:v>barbarian</x:v>
      </x:c>
      <x:c r="B59" s="61" t="str">
        <x:v>barbarian</x:v>
      </x:c>
      <x:c r="C59" s="61" t="str">
        <x:f>VLOOKUP(A59,'01_Hero_Base'!$A$5:$P$12,4,FALSE)</x:f>
        <x:v>Physical</x:v>
      </x:c>
      <x:c r="D59" s="61" t="str">
        <x:f>VLOOKUP(B59,'01_Hero_Base'!$A$5:$P$12,4,FALSE)</x:f>
        <x:v>Physical</x:v>
      </x:c>
      <x:c r="E59" s="68" t="n">
        <x:f>VLOOKUP(A59,'01_Hero_Base'!$A$5:$P$12,5,FALSE)</x:f>
        <x:v>2</x:v>
      </x:c>
      <x:c r="F59" s="68" t="n">
        <x:f>VLOOKUP(A59,'01_Hero_Base'!$A$5:$P$12,6,FALSE)</x:f>
        <x:v>4</x:v>
      </x:c>
      <x:c r="G59" s="68" t="n">
        <x:f>VLOOKUP(B59,'01_Hero_Base'!$A$5:$P$12,6,FALSE)</x:f>
        <x:v>4</x:v>
      </x:c>
      <x:c r="H59" s="68" t="n">
        <x:f>VLOOKUP(B59,'01_Hero_Base'!$A$5:$P$12,7,FALSE)</x:f>
        <x:v>18</x:v>
      </x:c>
      <x:c r="I59" s="68" t="n">
        <x:f>VLOOKUP(B59,'01_Hero_Base'!$A$5:$P$12,15,FALSE)</x:f>
        <x:v>0</x:v>
      </x:c>
      <x:c r="J59" s="68" t="n">
        <x:f>VLOOKUP(B59,'01_Hero_Base'!$A$5:$P$12,16,FALSE)</x:f>
        <x:v>0</x:v>
      </x:c>
      <x:c r="K59" s="68" t="n">
        <x:f>VLOOKUP(A59,'01_Hero_Base'!$A$5:$P$12,15,FALSE)</x:f>
        <x:v>0</x:v>
      </x:c>
      <x:c r="L59" s="68" t="n">
        <x:f>VLOOKUP(A59,'01_Hero_Base'!$A$5:$P$12,16,FALSE)</x:f>
        <x:v>0</x:v>
      </x:c>
      <x:c r="M59" s="68" t="n">
        <x:f>F59</x:f>
        <x:v>4</x:v>
      </x:c>
      <x:c r="N59" s="68" t="n">
        <x:f>IF(C59="Physical",I59,IF(C59="Magical",J59,0))</x:f>
        <x:v>0</x:v>
      </x:c>
      <x:c r="O59" s="74" t="n">
        <x:f>MAX(0,M59-N59)</x:f>
        <x:v>4</x:v>
      </x:c>
      <x:c r="P59" s="68" t="n">
        <x:f>MAX(0,G59-'00_Assumptions'!$C$10)</x:f>
        <x:v>3</x:v>
      </x:c>
      <x:c r="Q59" s="68" t="n">
        <x:f>IF(D59="Physical",K59,IF(D59="Magical",L59,0))</x:f>
        <x:v>0</x:v>
      </x:c>
      <x:c r="R59" s="77" t="n">
        <x:f>MAX(0,P59-Q59)</x:f>
        <x:v>3</x:v>
      </x:c>
      <x:c r="S59" s="68" t="n">
        <x:f>O59-R59</x:f>
        <x:v>1</x:v>
      </x:c>
      <x:c r="T59" s="71" t="n">
        <x:f>IF(E59=0,0,O59/E59)</x:f>
        <x:v>2</x:v>
      </x:c>
      <x:c r="U59" s="80" t="n">
        <x:f>IF(O59=0,"∞",ROUNDUP(H59/O59,0))</x:f>
        <x:v>5</x:v>
      </x:c>
      <x:c r="V59" s="68" t="str">
        <x:f>IF(R59&gt;=3,"高",IF(R59&gt;=2,"中","低"))</x:f>
        <x:v>高</x:v>
      </x:c>
      <x:c r="W59" s="89" t="str">
        <x:f>IF(O59=0,"主动伤害被防御完全抵消",IF(N59&gt;0,"受防御影响","无防御影响"))</x:f>
        <x:v>无防御影响</x:v>
      </x:c>
    </x:row>
    <x:row r="60" ht="15" hidden="0" customHeight="1">
      <x:c r="A60" s="60" t="str">
        <x:v>barbarian</x:v>
      </x:c>
      <x:c r="B60" s="61" t="str">
        <x:v>monster</x:v>
      </x:c>
      <x:c r="C60" s="61" t="str">
        <x:f>VLOOKUP(A60,'01_Hero_Base'!$A$5:$P$12,4,FALSE)</x:f>
        <x:v>Physical</x:v>
      </x:c>
      <x:c r="D60" s="61" t="str">
        <x:f>VLOOKUP(B60,'01_Hero_Base'!$A$5:$P$12,4,FALSE)</x:f>
        <x:v>Physical</x:v>
      </x:c>
      <x:c r="E60" s="68" t="n">
        <x:f>VLOOKUP(A60,'01_Hero_Base'!$A$5:$P$12,5,FALSE)</x:f>
        <x:v>2</x:v>
      </x:c>
      <x:c r="F60" s="68" t="n">
        <x:f>VLOOKUP(A60,'01_Hero_Base'!$A$5:$P$12,6,FALSE)</x:f>
        <x:v>4</x:v>
      </x:c>
      <x:c r="G60" s="68" t="n">
        <x:f>VLOOKUP(B60,'01_Hero_Base'!$A$5:$P$12,6,FALSE)</x:f>
        <x:v>3</x:v>
      </x:c>
      <x:c r="H60" s="68" t="n">
        <x:f>VLOOKUP(B60,'01_Hero_Base'!$A$5:$P$12,7,FALSE)</x:f>
        <x:v>22</x:v>
      </x:c>
      <x:c r="I60" s="68" t="n">
        <x:f>VLOOKUP(B60,'01_Hero_Base'!$A$5:$P$12,15,FALSE)</x:f>
        <x:v>1</x:v>
      </x:c>
      <x:c r="J60" s="68" t="n">
        <x:f>VLOOKUP(B60,'01_Hero_Base'!$A$5:$P$12,16,FALSE)</x:f>
        <x:v>0</x:v>
      </x:c>
      <x:c r="K60" s="68" t="n">
        <x:f>VLOOKUP(A60,'01_Hero_Base'!$A$5:$P$12,15,FALSE)</x:f>
        <x:v>0</x:v>
      </x:c>
      <x:c r="L60" s="68" t="n">
        <x:f>VLOOKUP(A60,'01_Hero_Base'!$A$5:$P$12,16,FALSE)</x:f>
        <x:v>0</x:v>
      </x:c>
      <x:c r="M60" s="68" t="n">
        <x:f>F60</x:f>
        <x:v>4</x:v>
      </x:c>
      <x:c r="N60" s="68" t="n">
        <x:f>IF(C60="Physical",I60,IF(C60="Magical",J60,0))</x:f>
        <x:v>1</x:v>
      </x:c>
      <x:c r="O60" s="74" t="n">
        <x:f>MAX(0,M60-N60)</x:f>
        <x:v>3</x:v>
      </x:c>
      <x:c r="P60" s="68" t="n">
        <x:f>MAX(0,G60-'00_Assumptions'!$C$10)</x:f>
        <x:v>2</x:v>
      </x:c>
      <x:c r="Q60" s="68" t="n">
        <x:f>IF(D60="Physical",K60,IF(D60="Magical",L60,0))</x:f>
        <x:v>0</x:v>
      </x:c>
      <x:c r="R60" s="77" t="n">
        <x:f>MAX(0,P60-Q60)</x:f>
        <x:v>2</x:v>
      </x:c>
      <x:c r="S60" s="68" t="n">
        <x:f>O60-R60</x:f>
        <x:v>1</x:v>
      </x:c>
      <x:c r="T60" s="71" t="n">
        <x:f>IF(E60=0,0,O60/E60)</x:f>
        <x:v>1.5</x:v>
      </x:c>
      <x:c r="U60" s="80" t="n">
        <x:f>IF(O60=0,"∞",ROUNDUP(H60/O60,0))</x:f>
        <x:v>8</x:v>
      </x:c>
      <x:c r="V60" s="68" t="str">
        <x:f>IF(R60&gt;=3,"高",IF(R60&gt;=2,"中","低"))</x:f>
        <x:v>中</x:v>
      </x:c>
      <x:c r="W60" s="89" t="str">
        <x:f>IF(O60=0,"主动伤害被防御完全抵消",IF(N60&gt;0,"受防御影响","无防御影响"))</x:f>
        <x:v>受防御影响</x:v>
      </x:c>
    </x:row>
    <x:row r="61" ht="15" hidden="0" customHeight="1">
      <x:c r="A61" s="60" t="str">
        <x:v>monster</x:v>
      </x:c>
      <x:c r="B61" s="61" t="str">
        <x:v>peasant</x:v>
      </x:c>
      <x:c r="C61" s="61" t="str">
        <x:f>VLOOKUP(A61,'01_Hero_Base'!$A$5:$P$12,4,FALSE)</x:f>
        <x:v>Physical</x:v>
      </x:c>
      <x:c r="D61" s="61" t="str">
        <x:f>VLOOKUP(B61,'01_Hero_Base'!$A$5:$P$12,4,FALSE)</x:f>
        <x:v>Physical</x:v>
      </x:c>
      <x:c r="E61" s="68" t="n">
        <x:f>VLOOKUP(A61,'01_Hero_Base'!$A$5:$P$12,5,FALSE)</x:f>
        <x:v>3</x:v>
      </x:c>
      <x:c r="F61" s="68" t="n">
        <x:f>VLOOKUP(A61,'01_Hero_Base'!$A$5:$P$12,6,FALSE)</x:f>
        <x:v>3</x:v>
      </x:c>
      <x:c r="G61" s="68" t="n">
        <x:f>VLOOKUP(B61,'01_Hero_Base'!$A$5:$P$12,6,FALSE)</x:f>
        <x:v>2</x:v>
      </x:c>
      <x:c r="H61" s="68" t="n">
        <x:f>VLOOKUP(B61,'01_Hero_Base'!$A$5:$P$12,7,FALSE)</x:f>
        <x:v>16</x:v>
      </x:c>
      <x:c r="I61" s="68" t="n">
        <x:f>VLOOKUP(B61,'01_Hero_Base'!$A$5:$P$12,15,FALSE)</x:f>
        <x:v>0</x:v>
      </x:c>
      <x:c r="J61" s="68" t="n">
        <x:f>VLOOKUP(B61,'01_Hero_Base'!$A$5:$P$12,16,FALSE)</x:f>
        <x:v>0</x:v>
      </x:c>
      <x:c r="K61" s="68" t="n">
        <x:f>VLOOKUP(A61,'01_Hero_Base'!$A$5:$P$12,15,FALSE)</x:f>
        <x:v>1</x:v>
      </x:c>
      <x:c r="L61" s="68" t="n">
        <x:f>VLOOKUP(A61,'01_Hero_Base'!$A$5:$P$12,16,FALSE)</x:f>
        <x:v>0</x:v>
      </x:c>
      <x:c r="M61" s="68" t="n">
        <x:f>F61</x:f>
        <x:v>3</x:v>
      </x:c>
      <x:c r="N61" s="68" t="n">
        <x:f>IF(C61="Physical",I61,IF(C61="Magical",J61,0))</x:f>
        <x:v>0</x:v>
      </x:c>
      <x:c r="O61" s="74" t="n">
        <x:f>MAX(0,M61-N61)</x:f>
        <x:v>3</x:v>
      </x:c>
      <x:c r="P61" s="68" t="n">
        <x:f>MAX(0,G61-'00_Assumptions'!$C$10)</x:f>
        <x:v>1</x:v>
      </x:c>
      <x:c r="Q61" s="68" t="n">
        <x:f>IF(D61="Physical",K61,IF(D61="Magical",L61,0))</x:f>
        <x:v>1</x:v>
      </x:c>
      <x:c r="R61" s="77" t="n">
        <x:f>MAX(0,P61-Q61)</x:f>
        <x:v>0</x:v>
      </x:c>
      <x:c r="S61" s="68" t="n">
        <x:f>O61-R61</x:f>
        <x:v>3</x:v>
      </x:c>
      <x:c r="T61" s="71" t="n">
        <x:f>IF(E61=0,0,O61/E61)</x:f>
        <x:v>1</x:v>
      </x:c>
      <x:c r="U61" s="80" t="n">
        <x:f>IF(O61=0,"∞",ROUNDUP(H61/O61,0))</x:f>
        <x:v>6</x:v>
      </x:c>
      <x:c r="V61" s="68" t="str">
        <x:f>IF(R61&gt;=3,"高",IF(R61&gt;=2,"中","低"))</x:f>
        <x:v>低</x:v>
      </x:c>
      <x:c r="W61" s="89" t="str">
        <x:f>IF(O61=0,"主动伤害被防御完全抵消",IF(N61&gt;0,"受防御影响","无防御影响"))</x:f>
        <x:v>无防御影响</x:v>
      </x:c>
    </x:row>
    <x:row r="62" ht="15" hidden="0" customHeight="1">
      <x:c r="A62" s="60" t="str">
        <x:v>monster</x:v>
      </x:c>
      <x:c r="B62" s="61" t="str">
        <x:v>princess</x:v>
      </x:c>
      <x:c r="C62" s="61" t="str">
        <x:f>VLOOKUP(A62,'01_Hero_Base'!$A$5:$P$12,4,FALSE)</x:f>
        <x:v>Physical</x:v>
      </x:c>
      <x:c r="D62" s="61" t="str">
        <x:f>VLOOKUP(B62,'01_Hero_Base'!$A$5:$P$12,4,FALSE)</x:f>
        <x:v>Physical</x:v>
      </x:c>
      <x:c r="E62" s="68" t="n">
        <x:f>VLOOKUP(A62,'01_Hero_Base'!$A$5:$P$12,5,FALSE)</x:f>
        <x:v>3</x:v>
      </x:c>
      <x:c r="F62" s="68" t="n">
        <x:f>VLOOKUP(A62,'01_Hero_Base'!$A$5:$P$12,6,FALSE)</x:f>
        <x:v>3</x:v>
      </x:c>
      <x:c r="G62" s="68" t="n">
        <x:f>VLOOKUP(B62,'01_Hero_Base'!$A$5:$P$12,6,FALSE)</x:f>
        <x:v>1</x:v>
      </x:c>
      <x:c r="H62" s="68" t="n">
        <x:f>VLOOKUP(B62,'01_Hero_Base'!$A$5:$P$12,7,FALSE)</x:f>
        <x:v>12</x:v>
      </x:c>
      <x:c r="I62" s="68" t="n">
        <x:f>VLOOKUP(B62,'01_Hero_Base'!$A$5:$P$12,15,FALSE)</x:f>
        <x:v>0</x:v>
      </x:c>
      <x:c r="J62" s="68" t="n">
        <x:f>VLOOKUP(B62,'01_Hero_Base'!$A$5:$P$12,16,FALSE)</x:f>
        <x:v>0</x:v>
      </x:c>
      <x:c r="K62" s="68" t="n">
        <x:f>VLOOKUP(A62,'01_Hero_Base'!$A$5:$P$12,15,FALSE)</x:f>
        <x:v>1</x:v>
      </x:c>
      <x:c r="L62" s="68" t="n">
        <x:f>VLOOKUP(A62,'01_Hero_Base'!$A$5:$P$12,16,FALSE)</x:f>
        <x:v>0</x:v>
      </x:c>
      <x:c r="M62" s="68" t="n">
        <x:f>F62</x:f>
        <x:v>3</x:v>
      </x:c>
      <x:c r="N62" s="68" t="n">
        <x:f>IF(C62="Physical",I62,IF(C62="Magical",J62,0))</x:f>
        <x:v>0</x:v>
      </x:c>
      <x:c r="O62" s="74" t="n">
        <x:f>MAX(0,M62-N62)</x:f>
        <x:v>3</x:v>
      </x:c>
      <x:c r="P62" s="68" t="n">
        <x:f>MAX(0,G62-'00_Assumptions'!$C$10)</x:f>
        <x:v>0</x:v>
      </x:c>
      <x:c r="Q62" s="68" t="n">
        <x:f>IF(D62="Physical",K62,IF(D62="Magical",L62,0))</x:f>
        <x:v>1</x:v>
      </x:c>
      <x:c r="R62" s="77" t="n">
        <x:f>MAX(0,P62-Q62)</x:f>
        <x:v>0</x:v>
      </x:c>
      <x:c r="S62" s="68" t="n">
        <x:f>O62-R62</x:f>
        <x:v>3</x:v>
      </x:c>
      <x:c r="T62" s="71" t="n">
        <x:f>IF(E62=0,0,O62/E62)</x:f>
        <x:v>1</x:v>
      </x:c>
      <x:c r="U62" s="80" t="n">
        <x:f>IF(O62=0,"∞",ROUNDUP(H62/O62,0))</x:f>
        <x:v>4</x:v>
      </x:c>
      <x:c r="V62" s="68" t="str">
        <x:f>IF(R62&gt;=3,"高",IF(R62&gt;=2,"中","低"))</x:f>
        <x:v>低</x:v>
      </x:c>
      <x:c r="W62" s="89" t="str">
        <x:f>IF(O62=0,"主动伤害被防御完全抵消",IF(N62&gt;0,"受防御影响","无防御影响"))</x:f>
        <x:v>无防御影响</x:v>
      </x:c>
    </x:row>
    <x:row r="63" ht="15" hidden="0" customHeight="1">
      <x:c r="A63" s="60" t="str">
        <x:v>monster</x:v>
      </x:c>
      <x:c r="B63" s="61" t="str">
        <x:v>mage</x:v>
      </x:c>
      <x:c r="C63" s="61" t="str">
        <x:f>VLOOKUP(A63,'01_Hero_Base'!$A$5:$P$12,4,FALSE)</x:f>
        <x:v>Physical</x:v>
      </x:c>
      <x:c r="D63" s="61" t="str">
        <x:f>VLOOKUP(B63,'01_Hero_Base'!$A$5:$P$12,4,FALSE)</x:f>
        <x:v>Magical</x:v>
      </x:c>
      <x:c r="E63" s="68" t="n">
        <x:f>VLOOKUP(A63,'01_Hero_Base'!$A$5:$P$12,5,FALSE)</x:f>
        <x:v>3</x:v>
      </x:c>
      <x:c r="F63" s="68" t="n">
        <x:f>VLOOKUP(A63,'01_Hero_Base'!$A$5:$P$12,6,FALSE)</x:f>
        <x:v>3</x:v>
      </x:c>
      <x:c r="G63" s="68" t="n">
        <x:f>VLOOKUP(B63,'01_Hero_Base'!$A$5:$P$12,6,FALSE)</x:f>
        <x:v>4</x:v>
      </x:c>
      <x:c r="H63" s="68" t="n">
        <x:f>VLOOKUP(B63,'01_Hero_Base'!$A$5:$P$12,7,FALSE)</x:f>
        <x:v>16</x:v>
      </x:c>
      <x:c r="I63" s="68" t="n">
        <x:f>VLOOKUP(B63,'01_Hero_Base'!$A$5:$P$12,15,FALSE)</x:f>
        <x:v>0</x:v>
      </x:c>
      <x:c r="J63" s="68" t="n">
        <x:f>VLOOKUP(B63,'01_Hero_Base'!$A$5:$P$12,16,FALSE)</x:f>
        <x:v>0</x:v>
      </x:c>
      <x:c r="K63" s="68" t="n">
        <x:f>VLOOKUP(A63,'01_Hero_Base'!$A$5:$P$12,15,FALSE)</x:f>
        <x:v>1</x:v>
      </x:c>
      <x:c r="L63" s="68" t="n">
        <x:f>VLOOKUP(A63,'01_Hero_Base'!$A$5:$P$12,16,FALSE)</x:f>
        <x:v>0</x:v>
      </x:c>
      <x:c r="M63" s="68" t="n">
        <x:f>F63</x:f>
        <x:v>3</x:v>
      </x:c>
      <x:c r="N63" s="68" t="n">
        <x:f>IF(C63="Physical",I63,IF(C63="Magical",J63,0))</x:f>
        <x:v>0</x:v>
      </x:c>
      <x:c r="O63" s="74" t="n">
        <x:f>MAX(0,M63-N63)</x:f>
        <x:v>3</x:v>
      </x:c>
      <x:c r="P63" s="68" t="n">
        <x:f>MAX(0,G63-'00_Assumptions'!$C$10)</x:f>
        <x:v>3</x:v>
      </x:c>
      <x:c r="Q63" s="68" t="n">
        <x:f>IF(D63="Physical",K63,IF(D63="Magical",L63,0))</x:f>
        <x:v>0</x:v>
      </x:c>
      <x:c r="R63" s="77" t="n">
        <x:f>MAX(0,P63-Q63)</x:f>
        <x:v>3</x:v>
      </x:c>
      <x:c r="S63" s="68" t="n">
        <x:f>O63-R63</x:f>
        <x:v>0</x:v>
      </x:c>
      <x:c r="T63" s="71" t="n">
        <x:f>IF(E63=0,0,O63/E63)</x:f>
        <x:v>1</x:v>
      </x:c>
      <x:c r="U63" s="80" t="n">
        <x:f>IF(O63=0,"∞",ROUNDUP(H63/O63,0))</x:f>
        <x:v>6</x:v>
      </x:c>
      <x:c r="V63" s="68" t="str">
        <x:f>IF(R63&gt;=3,"高",IF(R63&gt;=2,"中","低"))</x:f>
        <x:v>高</x:v>
      </x:c>
      <x:c r="W63" s="89" t="str">
        <x:f>IF(O63=0,"主动伤害被防御完全抵消",IF(N63&gt;0,"受防御影响","无防御影响"))</x:f>
        <x:v>无防御影响</x:v>
      </x:c>
    </x:row>
    <x:row r="64" ht="15" hidden="0" customHeight="1">
      <x:c r="A64" s="60" t="str">
        <x:v>monster</x:v>
      </x:c>
      <x:c r="B64" s="61" t="str">
        <x:v>oracle</x:v>
      </x:c>
      <x:c r="C64" s="61" t="str">
        <x:f>VLOOKUP(A64,'01_Hero_Base'!$A$5:$P$12,4,FALSE)</x:f>
        <x:v>Physical</x:v>
      </x:c>
      <x:c r="D64" s="61" t="str">
        <x:f>VLOOKUP(B64,'01_Hero_Base'!$A$5:$P$12,4,FALSE)</x:f>
        <x:v>Magical</x:v>
      </x:c>
      <x:c r="E64" s="68" t="n">
        <x:f>VLOOKUP(A64,'01_Hero_Base'!$A$5:$P$12,5,FALSE)</x:f>
        <x:v>3</x:v>
      </x:c>
      <x:c r="F64" s="68" t="n">
        <x:f>VLOOKUP(A64,'01_Hero_Base'!$A$5:$P$12,6,FALSE)</x:f>
        <x:v>3</x:v>
      </x:c>
      <x:c r="G64" s="68" t="n">
        <x:f>VLOOKUP(B64,'01_Hero_Base'!$A$5:$P$12,6,FALSE)</x:f>
        <x:v>1</x:v>
      </x:c>
      <x:c r="H64" s="68" t="n">
        <x:f>VLOOKUP(B64,'01_Hero_Base'!$A$5:$P$12,7,FALSE)</x:f>
        <x:v>14</x:v>
      </x:c>
      <x:c r="I64" s="68" t="n">
        <x:f>VLOOKUP(B64,'01_Hero_Base'!$A$5:$P$12,15,FALSE)</x:f>
        <x:v>0</x:v>
      </x:c>
      <x:c r="J64" s="68" t="n">
        <x:f>VLOOKUP(B64,'01_Hero_Base'!$A$5:$P$12,16,FALSE)</x:f>
        <x:v>1</x:v>
      </x:c>
      <x:c r="K64" s="68" t="n">
        <x:f>VLOOKUP(A64,'01_Hero_Base'!$A$5:$P$12,15,FALSE)</x:f>
        <x:v>1</x:v>
      </x:c>
      <x:c r="L64" s="68" t="n">
        <x:f>VLOOKUP(A64,'01_Hero_Base'!$A$5:$P$12,16,FALSE)</x:f>
        <x:v>0</x:v>
      </x:c>
      <x:c r="M64" s="68" t="n">
        <x:f>F64</x:f>
        <x:v>3</x:v>
      </x:c>
      <x:c r="N64" s="68" t="n">
        <x:f>IF(C64="Physical",I64,IF(C64="Magical",J64,0))</x:f>
        <x:v>0</x:v>
      </x:c>
      <x:c r="O64" s="74" t="n">
        <x:f>MAX(0,M64-N64)</x:f>
        <x:v>3</x:v>
      </x:c>
      <x:c r="P64" s="68" t="n">
        <x:f>MAX(0,G64-'00_Assumptions'!$C$10)</x:f>
        <x:v>0</x:v>
      </x:c>
      <x:c r="Q64" s="68" t="n">
        <x:f>IF(D64="Physical",K64,IF(D64="Magical",L64,0))</x:f>
        <x:v>0</x:v>
      </x:c>
      <x:c r="R64" s="77" t="n">
        <x:f>MAX(0,P64-Q64)</x:f>
        <x:v>0</x:v>
      </x:c>
      <x:c r="S64" s="68" t="n">
        <x:f>O64-R64</x:f>
        <x:v>3</x:v>
      </x:c>
      <x:c r="T64" s="71" t="n">
        <x:f>IF(E64=0,0,O64/E64)</x:f>
        <x:v>1</x:v>
      </x:c>
      <x:c r="U64" s="80" t="n">
        <x:f>IF(O64=0,"∞",ROUNDUP(H64/O64,0))</x:f>
        <x:v>5</x:v>
      </x:c>
      <x:c r="V64" s="68" t="str">
        <x:f>IF(R64&gt;=3,"高",IF(R64&gt;=2,"中","低"))</x:f>
        <x:v>低</x:v>
      </x:c>
      <x:c r="W64" s="89" t="str">
        <x:f>IF(O64=0,"主动伤害被防御完全抵消",IF(N64&gt;0,"受防御影响","无防御影响"))</x:f>
        <x:v>无防御影响</x:v>
      </x:c>
    </x:row>
    <x:row r="65" ht="15" hidden="0" customHeight="1">
      <x:c r="A65" s="60" t="str">
        <x:v>monster</x:v>
      </x:c>
      <x:c r="B65" s="61" t="str">
        <x:v>knight</x:v>
      </x:c>
      <x:c r="C65" s="61" t="str">
        <x:f>VLOOKUP(A65,'01_Hero_Base'!$A$5:$P$12,4,FALSE)</x:f>
        <x:v>Physical</x:v>
      </x:c>
      <x:c r="D65" s="61" t="str">
        <x:f>VLOOKUP(B65,'01_Hero_Base'!$A$5:$P$12,4,FALSE)</x:f>
        <x:v>Physical</x:v>
      </x:c>
      <x:c r="E65" s="68" t="n">
        <x:f>VLOOKUP(A65,'01_Hero_Base'!$A$5:$P$12,5,FALSE)</x:f>
        <x:v>3</x:v>
      </x:c>
      <x:c r="F65" s="68" t="n">
        <x:f>VLOOKUP(A65,'01_Hero_Base'!$A$5:$P$12,6,FALSE)</x:f>
        <x:v>3</x:v>
      </x:c>
      <x:c r="G65" s="68" t="n">
        <x:f>VLOOKUP(B65,'01_Hero_Base'!$A$5:$P$12,6,FALSE)</x:f>
        <x:v>3</x:v>
      </x:c>
      <x:c r="H65" s="68" t="n">
        <x:f>VLOOKUP(B65,'01_Hero_Base'!$A$5:$P$12,7,FALSE)</x:f>
        <x:v>24</x:v>
      </x:c>
      <x:c r="I65" s="68" t="n">
        <x:f>VLOOKUP(B65,'01_Hero_Base'!$A$5:$P$12,15,FALSE)</x:f>
        <x:v>1</x:v>
      </x:c>
      <x:c r="J65" s="68" t="n">
        <x:f>VLOOKUP(B65,'01_Hero_Base'!$A$5:$P$12,16,FALSE)</x:f>
        <x:v>0</x:v>
      </x:c>
      <x:c r="K65" s="68" t="n">
        <x:f>VLOOKUP(A65,'01_Hero_Base'!$A$5:$P$12,15,FALSE)</x:f>
        <x:v>1</x:v>
      </x:c>
      <x:c r="L65" s="68" t="n">
        <x:f>VLOOKUP(A65,'01_Hero_Base'!$A$5:$P$12,16,FALSE)</x:f>
        <x:v>0</x:v>
      </x:c>
      <x:c r="M65" s="68" t="n">
        <x:f>F65</x:f>
        <x:v>3</x:v>
      </x:c>
      <x:c r="N65" s="68" t="n">
        <x:f>IF(C65="Physical",I65,IF(C65="Magical",J65,0))</x:f>
        <x:v>1</x:v>
      </x:c>
      <x:c r="O65" s="74" t="n">
        <x:f>MAX(0,M65-N65)</x:f>
        <x:v>2</x:v>
      </x:c>
      <x:c r="P65" s="68" t="n">
        <x:f>MAX(0,G65-'00_Assumptions'!$C$10)</x:f>
        <x:v>2</x:v>
      </x:c>
      <x:c r="Q65" s="68" t="n">
        <x:f>IF(D65="Physical",K65,IF(D65="Magical",L65,0))</x:f>
        <x:v>1</x:v>
      </x:c>
      <x:c r="R65" s="77" t="n">
        <x:f>MAX(0,P65-Q65)</x:f>
        <x:v>1</x:v>
      </x:c>
      <x:c r="S65" s="68" t="n">
        <x:f>O65-R65</x:f>
        <x:v>1</x:v>
      </x:c>
      <x:c r="T65" s="71" t="n">
        <x:f>IF(E65=0,0,O65/E65)</x:f>
        <x:v>0.6666666666666666</x:v>
      </x:c>
      <x:c r="U65" s="80" t="n">
        <x:f>IF(O65=0,"∞",ROUNDUP(H65/O65,0))</x:f>
        <x:v>12</x:v>
      </x:c>
      <x:c r="V65" s="68" t="str">
        <x:f>IF(R65&gt;=3,"高",IF(R65&gt;=2,"中","低"))</x:f>
        <x:v>低</x:v>
      </x:c>
      <x:c r="W65" s="89" t="str">
        <x:f>IF(O65=0,"主动伤害被防御完全抵消",IF(N65&gt;0,"受防御影响","无防御影响"))</x:f>
        <x:v>受防御影响</x:v>
      </x:c>
    </x:row>
    <x:row r="66" ht="15" hidden="0" customHeight="1">
      <x:c r="A66" s="60" t="str">
        <x:v>monster</x:v>
      </x:c>
      <x:c r="B66" s="61" t="str">
        <x:v>druid</x:v>
      </x:c>
      <x:c r="C66" s="61" t="str">
        <x:f>VLOOKUP(A66,'01_Hero_Base'!$A$5:$P$12,4,FALSE)</x:f>
        <x:v>Physical</x:v>
      </x:c>
      <x:c r="D66" s="61" t="str">
        <x:f>VLOOKUP(B66,'01_Hero_Base'!$A$5:$P$12,4,FALSE)</x:f>
        <x:v>Magical</x:v>
      </x:c>
      <x:c r="E66" s="68" t="n">
        <x:f>VLOOKUP(A66,'01_Hero_Base'!$A$5:$P$12,5,FALSE)</x:f>
        <x:v>3</x:v>
      </x:c>
      <x:c r="F66" s="68" t="n">
        <x:f>VLOOKUP(A66,'01_Hero_Base'!$A$5:$P$12,6,FALSE)</x:f>
        <x:v>3</x:v>
      </x:c>
      <x:c r="G66" s="68" t="n">
        <x:f>VLOOKUP(B66,'01_Hero_Base'!$A$5:$P$12,6,FALSE)</x:f>
        <x:v>1</x:v>
      </x:c>
      <x:c r="H66" s="68" t="n">
        <x:f>VLOOKUP(B66,'01_Hero_Base'!$A$5:$P$12,7,FALSE)</x:f>
        <x:v>16</x:v>
      </x:c>
      <x:c r="I66" s="68" t="n">
        <x:f>VLOOKUP(B66,'01_Hero_Base'!$A$5:$P$12,15,FALSE)</x:f>
        <x:v>0</x:v>
      </x:c>
      <x:c r="J66" s="68" t="n">
        <x:f>VLOOKUP(B66,'01_Hero_Base'!$A$5:$P$12,16,FALSE)</x:f>
        <x:v>1</x:v>
      </x:c>
      <x:c r="K66" s="68" t="n">
        <x:f>VLOOKUP(A66,'01_Hero_Base'!$A$5:$P$12,15,FALSE)</x:f>
        <x:v>1</x:v>
      </x:c>
      <x:c r="L66" s="68" t="n">
        <x:f>VLOOKUP(A66,'01_Hero_Base'!$A$5:$P$12,16,FALSE)</x:f>
        <x:v>0</x:v>
      </x:c>
      <x:c r="M66" s="68" t="n">
        <x:f>F66</x:f>
        <x:v>3</x:v>
      </x:c>
      <x:c r="N66" s="68" t="n">
        <x:f>IF(C66="Physical",I66,IF(C66="Magical",J66,0))</x:f>
        <x:v>0</x:v>
      </x:c>
      <x:c r="O66" s="74" t="n">
        <x:f>MAX(0,M66-N66)</x:f>
        <x:v>3</x:v>
      </x:c>
      <x:c r="P66" s="68" t="n">
        <x:f>MAX(0,G66-'00_Assumptions'!$C$10)</x:f>
        <x:v>0</x:v>
      </x:c>
      <x:c r="Q66" s="68" t="n">
        <x:f>IF(D66="Physical",K66,IF(D66="Magical",L66,0))</x:f>
        <x:v>0</x:v>
      </x:c>
      <x:c r="R66" s="77" t="n">
        <x:f>MAX(0,P66-Q66)</x:f>
        <x:v>0</x:v>
      </x:c>
      <x:c r="S66" s="68" t="n">
        <x:f>O66-R66</x:f>
        <x:v>3</x:v>
      </x:c>
      <x:c r="T66" s="71" t="n">
        <x:f>IF(E66=0,0,O66/E66)</x:f>
        <x:v>1</x:v>
      </x:c>
      <x:c r="U66" s="80" t="n">
        <x:f>IF(O66=0,"∞",ROUNDUP(H66/O66,0))</x:f>
        <x:v>6</x:v>
      </x:c>
      <x:c r="V66" s="68" t="str">
        <x:f>IF(R66&gt;=3,"高",IF(R66&gt;=2,"中","低"))</x:f>
        <x:v>低</x:v>
      </x:c>
      <x:c r="W66" s="89" t="str">
        <x:f>IF(O66=0,"主动伤害被防御完全抵消",IF(N66&gt;0,"受防御影响","无防御影响"))</x:f>
        <x:v>无防御影响</x:v>
      </x:c>
    </x:row>
    <x:row r="67" ht="15" hidden="0" customHeight="1">
      <x:c r="A67" s="60" t="str">
        <x:v>monster</x:v>
      </x:c>
      <x:c r="B67" s="61" t="str">
        <x:v>barbarian</x:v>
      </x:c>
      <x:c r="C67" s="61" t="str">
        <x:f>VLOOKUP(A67,'01_Hero_Base'!$A$5:$P$12,4,FALSE)</x:f>
        <x:v>Physical</x:v>
      </x:c>
      <x:c r="D67" s="61" t="str">
        <x:f>VLOOKUP(B67,'01_Hero_Base'!$A$5:$P$12,4,FALSE)</x:f>
        <x:v>Physical</x:v>
      </x:c>
      <x:c r="E67" s="68" t="n">
        <x:f>VLOOKUP(A67,'01_Hero_Base'!$A$5:$P$12,5,FALSE)</x:f>
        <x:v>3</x:v>
      </x:c>
      <x:c r="F67" s="68" t="n">
        <x:f>VLOOKUP(A67,'01_Hero_Base'!$A$5:$P$12,6,FALSE)</x:f>
        <x:v>3</x:v>
      </x:c>
      <x:c r="G67" s="68" t="n">
        <x:f>VLOOKUP(B67,'01_Hero_Base'!$A$5:$P$12,6,FALSE)</x:f>
        <x:v>4</x:v>
      </x:c>
      <x:c r="H67" s="68" t="n">
        <x:f>VLOOKUP(B67,'01_Hero_Base'!$A$5:$P$12,7,FALSE)</x:f>
        <x:v>18</x:v>
      </x:c>
      <x:c r="I67" s="68" t="n">
        <x:f>VLOOKUP(B67,'01_Hero_Base'!$A$5:$P$12,15,FALSE)</x:f>
        <x:v>0</x:v>
      </x:c>
      <x:c r="J67" s="68" t="n">
        <x:f>VLOOKUP(B67,'01_Hero_Base'!$A$5:$P$12,16,FALSE)</x:f>
        <x:v>0</x:v>
      </x:c>
      <x:c r="K67" s="68" t="n">
        <x:f>VLOOKUP(A67,'01_Hero_Base'!$A$5:$P$12,15,FALSE)</x:f>
        <x:v>1</x:v>
      </x:c>
      <x:c r="L67" s="68" t="n">
        <x:f>VLOOKUP(A67,'01_Hero_Base'!$A$5:$P$12,16,FALSE)</x:f>
        <x:v>0</x:v>
      </x:c>
      <x:c r="M67" s="68" t="n">
        <x:f>F67</x:f>
        <x:v>3</x:v>
      </x:c>
      <x:c r="N67" s="68" t="n">
        <x:f>IF(C67="Physical",I67,IF(C67="Magical",J67,0))</x:f>
        <x:v>0</x:v>
      </x:c>
      <x:c r="O67" s="74" t="n">
        <x:f>MAX(0,M67-N67)</x:f>
        <x:v>3</x:v>
      </x:c>
      <x:c r="P67" s="68" t="n">
        <x:f>MAX(0,G67-'00_Assumptions'!$C$10)</x:f>
        <x:v>3</x:v>
      </x:c>
      <x:c r="Q67" s="68" t="n">
        <x:f>IF(D67="Physical",K67,IF(D67="Magical",L67,0))</x:f>
        <x:v>1</x:v>
      </x:c>
      <x:c r="R67" s="77" t="n">
        <x:f>MAX(0,P67-Q67)</x:f>
        <x:v>2</x:v>
      </x:c>
      <x:c r="S67" s="68" t="n">
        <x:f>O67-R67</x:f>
        <x:v>1</x:v>
      </x:c>
      <x:c r="T67" s="71" t="n">
        <x:f>IF(E67=0,0,O67/E67)</x:f>
        <x:v>1</x:v>
      </x:c>
      <x:c r="U67" s="80" t="n">
        <x:f>IF(O67=0,"∞",ROUNDUP(H67/O67,0))</x:f>
        <x:v>6</x:v>
      </x:c>
      <x:c r="V67" s="68" t="str">
        <x:f>IF(R67&gt;=3,"高",IF(R67&gt;=2,"中","低"))</x:f>
        <x:v>中</x:v>
      </x:c>
      <x:c r="W67" s="89" t="str">
        <x:f>IF(O67=0,"主动伤害被防御完全抵消",IF(N67&gt;0,"受防御影响","无防御影响"))</x:f>
        <x:v>无防御影响</x:v>
      </x:c>
    </x:row>
    <x:row r="68" ht="15" hidden="0" customHeight="1">
      <x:c r="A68" s="62" t="str">
        <x:v>monster</x:v>
      </x:c>
      <x:c r="B68" s="63" t="str">
        <x:v>monster</x:v>
      </x:c>
      <x:c r="C68" s="63" t="str">
        <x:f>VLOOKUP(A68,'01_Hero_Base'!$A$5:$P$12,4,FALSE)</x:f>
        <x:v>Physical</x:v>
      </x:c>
      <x:c r="D68" s="63" t="str">
        <x:f>VLOOKUP(B68,'01_Hero_Base'!$A$5:$P$12,4,FALSE)</x:f>
        <x:v>Physical</x:v>
      </x:c>
      <x:c r="E68" s="69" t="n">
        <x:f>VLOOKUP(A68,'01_Hero_Base'!$A$5:$P$12,5,FALSE)</x:f>
        <x:v>3</x:v>
      </x:c>
      <x:c r="F68" s="69" t="n">
        <x:f>VLOOKUP(A68,'01_Hero_Base'!$A$5:$P$12,6,FALSE)</x:f>
        <x:v>3</x:v>
      </x:c>
      <x:c r="G68" s="69" t="n">
        <x:f>VLOOKUP(B68,'01_Hero_Base'!$A$5:$P$12,6,FALSE)</x:f>
        <x:v>3</x:v>
      </x:c>
      <x:c r="H68" s="69" t="n">
        <x:f>VLOOKUP(B68,'01_Hero_Base'!$A$5:$P$12,7,FALSE)</x:f>
        <x:v>22</x:v>
      </x:c>
      <x:c r="I68" s="69" t="n">
        <x:f>VLOOKUP(B68,'01_Hero_Base'!$A$5:$P$12,15,FALSE)</x:f>
        <x:v>1</x:v>
      </x:c>
      <x:c r="J68" s="69" t="n">
        <x:f>VLOOKUP(B68,'01_Hero_Base'!$A$5:$P$12,16,FALSE)</x:f>
        <x:v>0</x:v>
      </x:c>
      <x:c r="K68" s="69" t="n">
        <x:f>VLOOKUP(A68,'01_Hero_Base'!$A$5:$P$12,15,FALSE)</x:f>
        <x:v>1</x:v>
      </x:c>
      <x:c r="L68" s="69" t="n">
        <x:f>VLOOKUP(A68,'01_Hero_Base'!$A$5:$P$12,16,FALSE)</x:f>
        <x:v>0</x:v>
      </x:c>
      <x:c r="M68" s="69" t="n">
        <x:f>F68</x:f>
        <x:v>3</x:v>
      </x:c>
      <x:c r="N68" s="69" t="n">
        <x:f>IF(C68="Physical",I68,IF(C68="Magical",J68,0))</x:f>
        <x:v>1</x:v>
      </x:c>
      <x:c r="O68" s="75" t="n">
        <x:f>MAX(0,M68-N68)</x:f>
        <x:v>2</x:v>
      </x:c>
      <x:c r="P68" s="69" t="n">
        <x:f>MAX(0,G68-'00_Assumptions'!$C$10)</x:f>
        <x:v>2</x:v>
      </x:c>
      <x:c r="Q68" s="69" t="n">
        <x:f>IF(D68="Physical",K68,IF(D68="Magical",L68,0))</x:f>
        <x:v>1</x:v>
      </x:c>
      <x:c r="R68" s="78" t="n">
        <x:f>MAX(0,P68-Q68)</x:f>
        <x:v>1</x:v>
      </x:c>
      <x:c r="S68" s="69" t="n">
        <x:f>O68-R68</x:f>
        <x:v>1</x:v>
      </x:c>
      <x:c r="T68" s="72" t="n">
        <x:f>IF(E68=0,0,O68/E68)</x:f>
        <x:v>0.6666666666666666</x:v>
      </x:c>
      <x:c r="U68" s="81" t="n">
        <x:f>IF(O68=0,"∞",ROUNDUP(H68/O68,0))</x:f>
        <x:v>11</x:v>
      </x:c>
      <x:c r="V68" s="69" t="str">
        <x:f>IF(R68&gt;=3,"高",IF(R68&gt;=2,"中","低"))</x:f>
        <x:v>低</x:v>
      </x:c>
      <x:c r="W68" s="90" t="str">
        <x:f>IF(O68=0,"主动伤害被防御完全抵消",IF(N68&gt;0,"受防御影响","无防御影响"))</x:f>
        <x:v>受防御影响</x:v>
      </x:c>
    </x:row>
  </x:sheetData>
  <x:mergeCells>
    <x:mergeCell ref="A1:W1"/>
    <x:mergeCell ref="A2:W2"/>
  </x:mergeCells>
  <x:pageMargins left="0.7" right="0.7" top="0.75" bottom="0.75" header="0.3" footer="0.3"/>
</x:worksheet>
</file>